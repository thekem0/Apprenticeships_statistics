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ownload\"/>
    </mc:Choice>
  </mc:AlternateContent>
  <xr:revisionPtr revIDLastSave="0" documentId="13_ncr:1_{10138EB2-043A-4C90-AC84-DD2DD204AD6C}" xr6:coauthVersionLast="46" xr6:coauthVersionMax="46" xr10:uidLastSave="{00000000-0000-0000-0000-000000000000}"/>
  <bookViews>
    <workbookView xWindow="-120" yWindow="-120" windowWidth="19440" windowHeight="11640" xr2:uid="{00000000-000D-0000-FFFF-FFFF00000000}"/>
  </bookViews>
  <sheets>
    <sheet name="Data" sheetId="2" r:id="rId1"/>
    <sheet name="section" sheetId="1" r:id="rId2"/>
    <sheet name="original" sheetId="3" r:id="rId3"/>
  </sheets>
  <definedNames>
    <definedName name="_xlnm._FilterDatabase" localSheetId="0" hidden="1">Data!$E$5:$G$266</definedName>
    <definedName name="_xlnm._FilterDatabase" localSheetId="2" hidden="1">original!$E$5:$G$44</definedName>
    <definedName name="_xlnm._FilterDatabase" localSheetId="1" hidden="1">section!$E$5:$G$6</definedName>
    <definedName name="major">section!$AM$2:$AM$8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8" i="3" l="1"/>
  <c r="AL9" i="3"/>
  <c r="AL10" i="3"/>
  <c r="AL11" i="3"/>
  <c r="AL12" i="3"/>
  <c r="AL13" i="3"/>
  <c r="AL14" i="3"/>
  <c r="AL15" i="3"/>
  <c r="AL16" i="3"/>
  <c r="AL17" i="3"/>
  <c r="AL18" i="3"/>
  <c r="AL19" i="3"/>
  <c r="AL20" i="3"/>
  <c r="AL21" i="3"/>
  <c r="AL22" i="3"/>
  <c r="AL23" i="3"/>
  <c r="AL24" i="3"/>
  <c r="AL25" i="3"/>
  <c r="AL26" i="3"/>
  <c r="AL27" i="3"/>
  <c r="AL28" i="3"/>
  <c r="AL29" i="3"/>
  <c r="AL30" i="3"/>
  <c r="AL31" i="3"/>
  <c r="AL32" i="3"/>
  <c r="AL33" i="3"/>
  <c r="AL34" i="3"/>
  <c r="AL35" i="3"/>
  <c r="AL36" i="3"/>
  <c r="AL37" i="3"/>
  <c r="AL38" i="3"/>
  <c r="AL39" i="3"/>
  <c r="AL40" i="3"/>
  <c r="AL41" i="3"/>
  <c r="AL42" i="3"/>
  <c r="AL43" i="3"/>
  <c r="AL44" i="3"/>
  <c r="AL45" i="3"/>
  <c r="AL46" i="3"/>
  <c r="AL47" i="3"/>
  <c r="AL48" i="3"/>
  <c r="AL49" i="3"/>
  <c r="AL50" i="3"/>
  <c r="AL51" i="3"/>
  <c r="AL52" i="3"/>
  <c r="AL53" i="3"/>
  <c r="AL54" i="3"/>
  <c r="AL55" i="3"/>
  <c r="AL56" i="3"/>
  <c r="AL57" i="3"/>
  <c r="AL58" i="3"/>
  <c r="AL59" i="3"/>
  <c r="AL60" i="3"/>
  <c r="AL61" i="3"/>
  <c r="AL62" i="3"/>
  <c r="AL63" i="3"/>
  <c r="AL64" i="3"/>
  <c r="AL65" i="3"/>
  <c r="AL66" i="3"/>
  <c r="AL67" i="3"/>
  <c r="AL68" i="3"/>
  <c r="AL69" i="3"/>
  <c r="AL70" i="3"/>
  <c r="AL71" i="3"/>
  <c r="AL72" i="3"/>
  <c r="AL73" i="3"/>
  <c r="AL74" i="3"/>
  <c r="AL75" i="3"/>
  <c r="AL76" i="3"/>
  <c r="AL77" i="3"/>
  <c r="AL78" i="3"/>
  <c r="AL79" i="3"/>
  <c r="AL80" i="3"/>
  <c r="AL81" i="3"/>
  <c r="AL82" i="3"/>
  <c r="AL83" i="3"/>
  <c r="AL84" i="3"/>
  <c r="AL85" i="3"/>
  <c r="AL86" i="3"/>
  <c r="AL87" i="3"/>
  <c r="AL88" i="3"/>
  <c r="AL89" i="3"/>
  <c r="AL90" i="3"/>
  <c r="AL91" i="3"/>
  <c r="AL92" i="3"/>
  <c r="AL93" i="3"/>
  <c r="AL94" i="3"/>
  <c r="AL95" i="3"/>
  <c r="AL96" i="3"/>
  <c r="AL97" i="3"/>
  <c r="AL98" i="3"/>
  <c r="AL99" i="3"/>
  <c r="AL100" i="3"/>
  <c r="AL101" i="3"/>
  <c r="AL102" i="3"/>
  <c r="AL103" i="3"/>
  <c r="AL104" i="3"/>
  <c r="AL105" i="3"/>
  <c r="AL106" i="3"/>
  <c r="AL107" i="3"/>
  <c r="AL108" i="3"/>
  <c r="AL109" i="3"/>
  <c r="AL110" i="3"/>
  <c r="AL111" i="3"/>
  <c r="AL112" i="3"/>
  <c r="AL113" i="3"/>
  <c r="AL114" i="3"/>
  <c r="AL115" i="3"/>
  <c r="AL116" i="3"/>
  <c r="AL117" i="3"/>
  <c r="AL118" i="3"/>
  <c r="AL119" i="3"/>
  <c r="AL120" i="3"/>
  <c r="AL121" i="3"/>
  <c r="AL122" i="3"/>
  <c r="AL123" i="3"/>
  <c r="AL124" i="3"/>
  <c r="AL125" i="3"/>
  <c r="AL126" i="3"/>
  <c r="AL127" i="3"/>
  <c r="AL128" i="3"/>
  <c r="AL129" i="3"/>
  <c r="AL130" i="3"/>
  <c r="AL131" i="3"/>
  <c r="AL132" i="3"/>
  <c r="AL133" i="3"/>
  <c r="AL134" i="3"/>
  <c r="AL135" i="3"/>
  <c r="AL136" i="3"/>
  <c r="AL137" i="3"/>
  <c r="AL138" i="3"/>
  <c r="AL139" i="3"/>
  <c r="AL140" i="3"/>
  <c r="AL141" i="3"/>
  <c r="AL142" i="3"/>
  <c r="AL143" i="3"/>
  <c r="AL144" i="3"/>
  <c r="AL145" i="3"/>
  <c r="AL146" i="3"/>
  <c r="AL147" i="3"/>
  <c r="AL148" i="3"/>
  <c r="AL149" i="3"/>
  <c r="AL150" i="3"/>
  <c r="AL151" i="3"/>
  <c r="AL152" i="3"/>
  <c r="AL153" i="3"/>
  <c r="AL154" i="3"/>
  <c r="AL155" i="3"/>
  <c r="AL156" i="3"/>
  <c r="AL157" i="3"/>
  <c r="AL158" i="3"/>
  <c r="AL159" i="3"/>
  <c r="AL160" i="3"/>
  <c r="AL161" i="3"/>
  <c r="AL162" i="3"/>
  <c r="AL163" i="3"/>
  <c r="AL164" i="3"/>
  <c r="AL165" i="3"/>
  <c r="AL166" i="3"/>
  <c r="AL167" i="3"/>
  <c r="AL168" i="3"/>
  <c r="AL169" i="3"/>
  <c r="AL170" i="3"/>
  <c r="AL171" i="3"/>
  <c r="AL172" i="3"/>
  <c r="AL173" i="3"/>
  <c r="AL174" i="3"/>
  <c r="AL175" i="3"/>
  <c r="AL176" i="3"/>
  <c r="AL177" i="3"/>
  <c r="AL178" i="3"/>
  <c r="AL179" i="3"/>
  <c r="AL180" i="3"/>
  <c r="AL181" i="3"/>
  <c r="AL182" i="3"/>
  <c r="AL183" i="3"/>
  <c r="AL184" i="3"/>
  <c r="AL185" i="3"/>
  <c r="AL186" i="3"/>
  <c r="AL187" i="3"/>
  <c r="AL188" i="3"/>
  <c r="AL189" i="3"/>
  <c r="AL190" i="3"/>
  <c r="AL191" i="3"/>
  <c r="AL192" i="3"/>
  <c r="AL193" i="3"/>
  <c r="AL194" i="3"/>
  <c r="AL195" i="3"/>
  <c r="AL196" i="3"/>
  <c r="AL197" i="3"/>
  <c r="AL198" i="3"/>
  <c r="AL199" i="3"/>
  <c r="AL200" i="3"/>
  <c r="AL201" i="3"/>
  <c r="AL202" i="3"/>
  <c r="AL203" i="3"/>
  <c r="AL204" i="3"/>
  <c r="AL205" i="3"/>
  <c r="AL206" i="3"/>
  <c r="AL207" i="3"/>
  <c r="AL208" i="3"/>
  <c r="AL209" i="3"/>
  <c r="AL210" i="3"/>
  <c r="AL211" i="3"/>
  <c r="AL212" i="3"/>
  <c r="AL213" i="3"/>
  <c r="AL214" i="3"/>
  <c r="AL215" i="3"/>
  <c r="AL216" i="3"/>
  <c r="AL217" i="3"/>
  <c r="AL218" i="3"/>
  <c r="AL219" i="3"/>
  <c r="AL220" i="3"/>
  <c r="AL221" i="3"/>
  <c r="AL222" i="3"/>
  <c r="AL223" i="3"/>
  <c r="AL224" i="3"/>
  <c r="AL225" i="3"/>
  <c r="AL226" i="3"/>
  <c r="AL227" i="3"/>
  <c r="AL228" i="3"/>
  <c r="AL229" i="3"/>
  <c r="AL230" i="3"/>
  <c r="AL231" i="3"/>
  <c r="AL232" i="3"/>
  <c r="AL233" i="3"/>
  <c r="AL234" i="3"/>
  <c r="AL235" i="3"/>
  <c r="AL236" i="3"/>
  <c r="AL237" i="3"/>
  <c r="AL238" i="3"/>
  <c r="AL239" i="3"/>
  <c r="AL240" i="3"/>
  <c r="AL241" i="3"/>
  <c r="AL242" i="3"/>
  <c r="AL243" i="3"/>
  <c r="AL244" i="3"/>
  <c r="AL245" i="3"/>
  <c r="AL246" i="3"/>
  <c r="AL247" i="3"/>
  <c r="AL248" i="3"/>
  <c r="AL249" i="3"/>
  <c r="AL250" i="3"/>
  <c r="AL251" i="3"/>
  <c r="AL252" i="3"/>
  <c r="AL253" i="3"/>
  <c r="AL254" i="3"/>
  <c r="AL255" i="3"/>
  <c r="AL256" i="3"/>
  <c r="AL257" i="3"/>
  <c r="AL258" i="3"/>
  <c r="AL259" i="3"/>
  <c r="AL260" i="3"/>
  <c r="AL261" i="3"/>
  <c r="AL262" i="3"/>
  <c r="AL263" i="3"/>
  <c r="AL264" i="3"/>
  <c r="AL265" i="3"/>
  <c r="AL266" i="3"/>
  <c r="AL267" i="3"/>
  <c r="AL268" i="3"/>
  <c r="AL269" i="3"/>
  <c r="AL270" i="3"/>
  <c r="AL271" i="3"/>
  <c r="AL272" i="3"/>
  <c r="AL273" i="3"/>
  <c r="AL274" i="3"/>
  <c r="AL275" i="3"/>
  <c r="AL276" i="3"/>
  <c r="AL277" i="3"/>
  <c r="AL278" i="3"/>
  <c r="AL279" i="3"/>
  <c r="AL280" i="3"/>
  <c r="AL281" i="3"/>
  <c r="AL282" i="3"/>
  <c r="AL283" i="3"/>
  <c r="AL284" i="3"/>
  <c r="AL285" i="3"/>
  <c r="AL286" i="3"/>
  <c r="AL287" i="3"/>
  <c r="AL288" i="3"/>
  <c r="AL289" i="3"/>
  <c r="AL290" i="3"/>
  <c r="AL291" i="3"/>
  <c r="AL292" i="3"/>
  <c r="AL293" i="3"/>
  <c r="AL294" i="3"/>
  <c r="AL295" i="3"/>
  <c r="AL296" i="3"/>
  <c r="AL297" i="3"/>
  <c r="AL298" i="3"/>
  <c r="AL299" i="3"/>
  <c r="AL300" i="3"/>
  <c r="AL301" i="3"/>
  <c r="AL302" i="3"/>
  <c r="AL303" i="3"/>
  <c r="AL304" i="3"/>
  <c r="AL305" i="3"/>
  <c r="AL306" i="3"/>
  <c r="AL307" i="3"/>
  <c r="AL308" i="3"/>
  <c r="AL7" i="3"/>
  <c r="AK8" i="3"/>
  <c r="AK9" i="3"/>
  <c r="AK10" i="3"/>
  <c r="AK11" i="3"/>
  <c r="AK12" i="3"/>
  <c r="AK13" i="3"/>
  <c r="AK14" i="3"/>
  <c r="AK15" i="3"/>
  <c r="AK16" i="3"/>
  <c r="AK17" i="3"/>
  <c r="AK18" i="3"/>
  <c r="AK19" i="3"/>
  <c r="AK20" i="3"/>
  <c r="AK21" i="3"/>
  <c r="AK22" i="3"/>
  <c r="AK23" i="3"/>
  <c r="AK24" i="3"/>
  <c r="AK25" i="3"/>
  <c r="AK26" i="3"/>
  <c r="AK27" i="3"/>
  <c r="AK28" i="3"/>
  <c r="AK29" i="3"/>
  <c r="AK30" i="3"/>
  <c r="AK31" i="3"/>
  <c r="AK32" i="3"/>
  <c r="AK33" i="3"/>
  <c r="AK34" i="3"/>
  <c r="AK35" i="3"/>
  <c r="AK36" i="3"/>
  <c r="AK37" i="3"/>
  <c r="AK38" i="3"/>
  <c r="AK39" i="3"/>
  <c r="AK40" i="3"/>
  <c r="AK41" i="3"/>
  <c r="AK42" i="3"/>
  <c r="AK43" i="3"/>
  <c r="AK44" i="3"/>
  <c r="AK45" i="3"/>
  <c r="AK46" i="3"/>
  <c r="AK47" i="3"/>
  <c r="AK48" i="3"/>
  <c r="AK49" i="3"/>
  <c r="AK50" i="3"/>
  <c r="AK51" i="3"/>
  <c r="AK52" i="3"/>
  <c r="AK53" i="3"/>
  <c r="AK54" i="3"/>
  <c r="AK55" i="3"/>
  <c r="AK56" i="3"/>
  <c r="AK57" i="3"/>
  <c r="AK58" i="3"/>
  <c r="AK59" i="3"/>
  <c r="AK60" i="3"/>
  <c r="AK61" i="3"/>
  <c r="AK62" i="3"/>
  <c r="AK63" i="3"/>
  <c r="AK64" i="3"/>
  <c r="AK65" i="3"/>
  <c r="AK66" i="3"/>
  <c r="AK67" i="3"/>
  <c r="AK68" i="3"/>
  <c r="AK69" i="3"/>
  <c r="AK70" i="3"/>
  <c r="AK71" i="3"/>
  <c r="AK72" i="3"/>
  <c r="AK73" i="3"/>
  <c r="AK74" i="3"/>
  <c r="AK75" i="3"/>
  <c r="AK76" i="3"/>
  <c r="AK77" i="3"/>
  <c r="AK78" i="3"/>
  <c r="AK79" i="3"/>
  <c r="AK80" i="3"/>
  <c r="AK81" i="3"/>
  <c r="AK82" i="3"/>
  <c r="AK83" i="3"/>
  <c r="AK84" i="3"/>
  <c r="AK85" i="3"/>
  <c r="AK86" i="3"/>
  <c r="AK87" i="3"/>
  <c r="AK88" i="3"/>
  <c r="AK89" i="3"/>
  <c r="AK90" i="3"/>
  <c r="AK91" i="3"/>
  <c r="AK92" i="3"/>
  <c r="AK93" i="3"/>
  <c r="AK94" i="3"/>
  <c r="AK95" i="3"/>
  <c r="AK96" i="3"/>
  <c r="AK97" i="3"/>
  <c r="AK98" i="3"/>
  <c r="AK99" i="3"/>
  <c r="AK100" i="3"/>
  <c r="AK101" i="3"/>
  <c r="AK102" i="3"/>
  <c r="AK103" i="3"/>
  <c r="AK104" i="3"/>
  <c r="AK105" i="3"/>
  <c r="AK106" i="3"/>
  <c r="AK107" i="3"/>
  <c r="AK108" i="3"/>
  <c r="AK109" i="3"/>
  <c r="AK110" i="3"/>
  <c r="AK111" i="3"/>
  <c r="AK112" i="3"/>
  <c r="AK113" i="3"/>
  <c r="AK114" i="3"/>
  <c r="AK115" i="3"/>
  <c r="AK116" i="3"/>
  <c r="AK117" i="3"/>
  <c r="AK118" i="3"/>
  <c r="AK119" i="3"/>
  <c r="AK120" i="3"/>
  <c r="AK121" i="3"/>
  <c r="AK122" i="3"/>
  <c r="AK123" i="3"/>
  <c r="AK124" i="3"/>
  <c r="AK125" i="3"/>
  <c r="AK126" i="3"/>
  <c r="AK127" i="3"/>
  <c r="AK128" i="3"/>
  <c r="AK129" i="3"/>
  <c r="AK130" i="3"/>
  <c r="AK131" i="3"/>
  <c r="AK132" i="3"/>
  <c r="AK133" i="3"/>
  <c r="AK134" i="3"/>
  <c r="AK135" i="3"/>
  <c r="AK136" i="3"/>
  <c r="AK137" i="3"/>
  <c r="AK138" i="3"/>
  <c r="AK139" i="3"/>
  <c r="AK140" i="3"/>
  <c r="AK141" i="3"/>
  <c r="AK142" i="3"/>
  <c r="AK143" i="3"/>
  <c r="AK144" i="3"/>
  <c r="AK145" i="3"/>
  <c r="AK146" i="3"/>
  <c r="AK147" i="3"/>
  <c r="AK148" i="3"/>
  <c r="AK149" i="3"/>
  <c r="AK150" i="3"/>
  <c r="AK151" i="3"/>
  <c r="AK152" i="3"/>
  <c r="AK153" i="3"/>
  <c r="AK154" i="3"/>
  <c r="AK155" i="3"/>
  <c r="AK156" i="3"/>
  <c r="AK157" i="3"/>
  <c r="AK158" i="3"/>
  <c r="AK159" i="3"/>
  <c r="AK160" i="3"/>
  <c r="AK161" i="3"/>
  <c r="AK162" i="3"/>
  <c r="AK163" i="3"/>
  <c r="AK164" i="3"/>
  <c r="AK165" i="3"/>
  <c r="AK166" i="3"/>
  <c r="AK167" i="3"/>
  <c r="AK168" i="3"/>
  <c r="AK169" i="3"/>
  <c r="AK170" i="3"/>
  <c r="AK171" i="3"/>
  <c r="AK172" i="3"/>
  <c r="AK173" i="3"/>
  <c r="AK174" i="3"/>
  <c r="AK175" i="3"/>
  <c r="AK176" i="3"/>
  <c r="AK177" i="3"/>
  <c r="AK178" i="3"/>
  <c r="AK179" i="3"/>
  <c r="AK180" i="3"/>
  <c r="AK181" i="3"/>
  <c r="AK182" i="3"/>
  <c r="AK183" i="3"/>
  <c r="AK184" i="3"/>
  <c r="AK185" i="3"/>
  <c r="AK186" i="3"/>
  <c r="AK187" i="3"/>
  <c r="AK188" i="3"/>
  <c r="AK189" i="3"/>
  <c r="AK190" i="3"/>
  <c r="AK191" i="3"/>
  <c r="AK192" i="3"/>
  <c r="AK193" i="3"/>
  <c r="AK194" i="3"/>
  <c r="AK195" i="3"/>
  <c r="AK196" i="3"/>
  <c r="AK197" i="3"/>
  <c r="AK198" i="3"/>
  <c r="AK199" i="3"/>
  <c r="AK200" i="3"/>
  <c r="AK201" i="3"/>
  <c r="AK202" i="3"/>
  <c r="AK203" i="3"/>
  <c r="AK204" i="3"/>
  <c r="AK205" i="3"/>
  <c r="AK206" i="3"/>
  <c r="AK207" i="3"/>
  <c r="AK208" i="3"/>
  <c r="AK209" i="3"/>
  <c r="AK210" i="3"/>
  <c r="AK211" i="3"/>
  <c r="AK212" i="3"/>
  <c r="AK213" i="3"/>
  <c r="AK214" i="3"/>
  <c r="AK215" i="3"/>
  <c r="AK216" i="3"/>
  <c r="AK217" i="3"/>
  <c r="AK218" i="3"/>
  <c r="AK219" i="3"/>
  <c r="AK220" i="3"/>
  <c r="AK221" i="3"/>
  <c r="AK222" i="3"/>
  <c r="AK223" i="3"/>
  <c r="AK224" i="3"/>
  <c r="AK225" i="3"/>
  <c r="AK226" i="3"/>
  <c r="AK227" i="3"/>
  <c r="AK228" i="3"/>
  <c r="AK229" i="3"/>
  <c r="AK230" i="3"/>
  <c r="AK231" i="3"/>
  <c r="AK232" i="3"/>
  <c r="AK233" i="3"/>
  <c r="AK234" i="3"/>
  <c r="AK235" i="3"/>
  <c r="AK236" i="3"/>
  <c r="AK237" i="3"/>
  <c r="AK238" i="3"/>
  <c r="AK239" i="3"/>
  <c r="AK240" i="3"/>
  <c r="AK241" i="3"/>
  <c r="AK242" i="3"/>
  <c r="AK243" i="3"/>
  <c r="AK244" i="3"/>
  <c r="AK245" i="3"/>
  <c r="AK246" i="3"/>
  <c r="AK247" i="3"/>
  <c r="AK248" i="3"/>
  <c r="AK249" i="3"/>
  <c r="AK250" i="3"/>
  <c r="AK251" i="3"/>
  <c r="AK252" i="3"/>
  <c r="AK253" i="3"/>
  <c r="AK254" i="3"/>
  <c r="AK255" i="3"/>
  <c r="AK256" i="3"/>
  <c r="AK257" i="3"/>
  <c r="AK258" i="3"/>
  <c r="AK259" i="3"/>
  <c r="AK260" i="3"/>
  <c r="AK261" i="3"/>
  <c r="AK262" i="3"/>
  <c r="AK263" i="3"/>
  <c r="AK264" i="3"/>
  <c r="AK265" i="3"/>
  <c r="AK266" i="3"/>
  <c r="AK267" i="3"/>
  <c r="AK268" i="3"/>
  <c r="AK269" i="3"/>
  <c r="AK270" i="3"/>
  <c r="AK271" i="3"/>
  <c r="AK272" i="3"/>
  <c r="AK273" i="3"/>
  <c r="AK274" i="3"/>
  <c r="AK275" i="3"/>
  <c r="AK276" i="3"/>
  <c r="AK277" i="3"/>
  <c r="AK278" i="3"/>
  <c r="AK279" i="3"/>
  <c r="AK280" i="3"/>
  <c r="AK281" i="3"/>
  <c r="AK282" i="3"/>
  <c r="AK283" i="3"/>
  <c r="AK284" i="3"/>
  <c r="AK285" i="3"/>
  <c r="AK286" i="3"/>
  <c r="AK287" i="3"/>
  <c r="AK288" i="3"/>
  <c r="AK289" i="3"/>
  <c r="AK290" i="3"/>
  <c r="AK291" i="3"/>
  <c r="AK292" i="3"/>
  <c r="AK293" i="3"/>
  <c r="AK294" i="3"/>
  <c r="AK295" i="3"/>
  <c r="AK296" i="3"/>
  <c r="AK297" i="3"/>
  <c r="AK298" i="3"/>
  <c r="AK299" i="3"/>
  <c r="AK300" i="3"/>
  <c r="AK301" i="3"/>
  <c r="AK302" i="3"/>
  <c r="AK303" i="3"/>
  <c r="AK304" i="3"/>
  <c r="AK305" i="3"/>
  <c r="AK306" i="3"/>
  <c r="AK307" i="3"/>
  <c r="AK308" i="3"/>
  <c r="AK7" i="3"/>
  <c r="AB5" i="3" l="1"/>
  <c r="U5" i="3"/>
  <c r="N5" i="3"/>
  <c r="AJ8" i="3" l="1"/>
  <c r="AJ9" i="3"/>
  <c r="AJ10" i="3"/>
  <c r="AJ11" i="3"/>
  <c r="AJ12" i="3"/>
  <c r="AJ13" i="3"/>
  <c r="AJ14" i="3"/>
  <c r="AJ15" i="3"/>
  <c r="AJ16" i="3"/>
  <c r="AJ17" i="3"/>
  <c r="AJ18" i="3"/>
  <c r="AJ19" i="3"/>
  <c r="AJ20" i="3"/>
  <c r="AJ21" i="3"/>
  <c r="AJ22" i="3"/>
  <c r="AJ23" i="3"/>
  <c r="AJ24" i="3"/>
  <c r="AJ25" i="3"/>
  <c r="AJ26" i="3"/>
  <c r="AJ27" i="3"/>
  <c r="AJ28" i="3"/>
  <c r="AJ29" i="3"/>
  <c r="AJ30" i="3"/>
  <c r="AJ31" i="3"/>
  <c r="AJ32" i="3"/>
  <c r="AJ33" i="3"/>
  <c r="AJ34" i="3"/>
  <c r="AJ35" i="3"/>
  <c r="AJ36" i="3"/>
  <c r="AJ37" i="3"/>
  <c r="AJ38" i="3"/>
  <c r="AJ39" i="3"/>
  <c r="AJ40" i="3"/>
  <c r="AJ41" i="3"/>
  <c r="AJ42" i="3"/>
  <c r="AJ43" i="3"/>
  <c r="AJ44" i="3"/>
  <c r="AJ45" i="3"/>
  <c r="AJ46" i="3"/>
  <c r="AJ47" i="3"/>
  <c r="AJ48" i="3"/>
  <c r="AJ49" i="3"/>
  <c r="AJ50" i="3"/>
  <c r="AJ51" i="3"/>
  <c r="AJ52" i="3"/>
  <c r="AJ53" i="3"/>
  <c r="AJ54" i="3"/>
  <c r="AJ55" i="3"/>
  <c r="AJ56" i="3"/>
  <c r="AJ57" i="3"/>
  <c r="AJ58" i="3"/>
  <c r="AJ59" i="3"/>
  <c r="AJ60" i="3"/>
  <c r="AJ61" i="3"/>
  <c r="AJ62" i="3"/>
  <c r="AJ63" i="3"/>
  <c r="AJ64" i="3"/>
  <c r="AJ65" i="3"/>
  <c r="AJ66" i="3"/>
  <c r="AJ67" i="3"/>
  <c r="AJ68" i="3"/>
  <c r="AJ69" i="3"/>
  <c r="AJ70" i="3"/>
  <c r="AJ71" i="3"/>
  <c r="AJ72" i="3"/>
  <c r="AJ73" i="3"/>
  <c r="AJ74" i="3"/>
  <c r="AJ75" i="3"/>
  <c r="AJ76" i="3"/>
  <c r="AJ77" i="3"/>
  <c r="AJ78" i="3"/>
  <c r="AJ79" i="3"/>
  <c r="AJ80" i="3"/>
  <c r="AJ81" i="3"/>
  <c r="AJ82" i="3"/>
  <c r="AJ83" i="3"/>
  <c r="AJ84" i="3"/>
  <c r="AJ85" i="3"/>
  <c r="AJ86" i="3"/>
  <c r="AJ87" i="3"/>
  <c r="AJ88" i="3"/>
  <c r="AJ89" i="3"/>
  <c r="AJ90" i="3"/>
  <c r="AJ91" i="3"/>
  <c r="AJ92" i="3"/>
  <c r="AJ93" i="3"/>
  <c r="AJ94" i="3"/>
  <c r="AJ95" i="3"/>
  <c r="AJ96" i="3"/>
  <c r="AJ97" i="3"/>
  <c r="AJ98" i="3"/>
  <c r="AJ99" i="3"/>
  <c r="AJ100" i="3"/>
  <c r="AJ101" i="3"/>
  <c r="AJ102" i="3"/>
  <c r="AJ103" i="3"/>
  <c r="AJ104" i="3"/>
  <c r="AJ105" i="3"/>
  <c r="AJ106" i="3"/>
  <c r="AJ107" i="3"/>
  <c r="AJ108" i="3"/>
  <c r="AJ109" i="3"/>
  <c r="AJ110" i="3"/>
  <c r="AJ111" i="3"/>
  <c r="AJ112" i="3"/>
  <c r="AJ113" i="3"/>
  <c r="AJ114" i="3"/>
  <c r="AJ115" i="3"/>
  <c r="AJ116" i="3"/>
  <c r="AJ117" i="3"/>
  <c r="AJ118" i="3"/>
  <c r="AJ119" i="3"/>
  <c r="AJ120" i="3"/>
  <c r="AJ121" i="3"/>
  <c r="AJ122" i="3"/>
  <c r="AJ123" i="3"/>
  <c r="AJ124" i="3"/>
  <c r="AJ125" i="3"/>
  <c r="AJ126" i="3"/>
  <c r="AJ127" i="3"/>
  <c r="AJ128" i="3"/>
  <c r="AJ129" i="3"/>
  <c r="AJ130" i="3"/>
  <c r="AJ131" i="3"/>
  <c r="AJ132" i="3"/>
  <c r="AJ133" i="3"/>
  <c r="AJ134" i="3"/>
  <c r="AJ135" i="3"/>
  <c r="AJ136" i="3"/>
  <c r="AJ137" i="3"/>
  <c r="AJ138" i="3"/>
  <c r="AJ139" i="3"/>
  <c r="AJ140" i="3"/>
  <c r="AJ141" i="3"/>
  <c r="AJ142" i="3"/>
  <c r="AJ143" i="3"/>
  <c r="AJ144" i="3"/>
  <c r="AJ145" i="3"/>
  <c r="AJ146" i="3"/>
  <c r="AJ147" i="3"/>
  <c r="AJ148" i="3"/>
  <c r="AJ149" i="3"/>
  <c r="AJ150" i="3"/>
  <c r="AJ151" i="3"/>
  <c r="AJ152" i="3"/>
  <c r="AJ153" i="3"/>
  <c r="AJ154" i="3"/>
  <c r="AJ155" i="3"/>
  <c r="AJ156" i="3"/>
  <c r="AJ157" i="3"/>
  <c r="AJ158" i="3"/>
  <c r="AJ159" i="3"/>
  <c r="AJ160" i="3"/>
  <c r="AJ161" i="3"/>
  <c r="AJ162" i="3"/>
  <c r="AJ163" i="3"/>
  <c r="AJ164" i="3"/>
  <c r="AJ165" i="3"/>
  <c r="AJ166" i="3"/>
  <c r="AJ167" i="3"/>
  <c r="AJ168" i="3"/>
  <c r="AJ169" i="3"/>
  <c r="AJ170" i="3"/>
  <c r="AJ171" i="3"/>
  <c r="AJ172" i="3"/>
  <c r="AJ173" i="3"/>
  <c r="AJ174" i="3"/>
  <c r="AJ175" i="3"/>
  <c r="AJ176" i="3"/>
  <c r="AJ177" i="3"/>
  <c r="AJ178" i="3"/>
  <c r="AJ179" i="3"/>
  <c r="AJ180" i="3"/>
  <c r="AJ181" i="3"/>
  <c r="AJ182" i="3"/>
  <c r="AJ183" i="3"/>
  <c r="AJ184" i="3"/>
  <c r="AJ185" i="3"/>
  <c r="AJ186" i="3"/>
  <c r="AJ187" i="3"/>
  <c r="AJ188" i="3"/>
  <c r="AJ189" i="3"/>
  <c r="AJ190" i="3"/>
  <c r="AJ191" i="3"/>
  <c r="AJ192" i="3"/>
  <c r="AJ193" i="3"/>
  <c r="AJ194" i="3"/>
  <c r="AJ195" i="3"/>
  <c r="AJ196" i="3"/>
  <c r="AJ197" i="3"/>
  <c r="AJ198" i="3"/>
  <c r="AJ199" i="3"/>
  <c r="AJ200" i="3"/>
  <c r="AJ201" i="3"/>
  <c r="AJ202" i="3"/>
  <c r="AJ203" i="3"/>
  <c r="AJ204" i="3"/>
  <c r="AJ205" i="3"/>
  <c r="AJ206" i="3"/>
  <c r="AJ207" i="3"/>
  <c r="AJ208" i="3"/>
  <c r="AJ209" i="3"/>
  <c r="AJ210" i="3"/>
  <c r="AJ211" i="3"/>
  <c r="AJ212" i="3"/>
  <c r="AJ213" i="3"/>
  <c r="AJ214" i="3"/>
  <c r="AJ215" i="3"/>
  <c r="AJ216" i="3"/>
  <c r="AJ217" i="3"/>
  <c r="AJ218" i="3"/>
  <c r="AJ219" i="3"/>
  <c r="AJ220" i="3"/>
  <c r="AJ221" i="3"/>
  <c r="AJ222" i="3"/>
  <c r="AJ223" i="3"/>
  <c r="AJ224" i="3"/>
  <c r="AJ225" i="3"/>
  <c r="AJ226" i="3"/>
  <c r="AJ227" i="3"/>
  <c r="AJ228" i="3"/>
  <c r="AJ229" i="3"/>
  <c r="AJ230" i="3"/>
  <c r="AJ231" i="3"/>
  <c r="AJ232" i="3"/>
  <c r="AJ233" i="3"/>
  <c r="AJ234" i="3"/>
  <c r="AJ235" i="3"/>
  <c r="AJ236" i="3"/>
  <c r="AJ237" i="3"/>
  <c r="AJ238" i="3"/>
  <c r="AJ239" i="3"/>
  <c r="AJ240" i="3"/>
  <c r="AJ241" i="3"/>
  <c r="AJ242" i="3"/>
  <c r="AJ243" i="3"/>
  <c r="AJ244" i="3"/>
  <c r="AJ245" i="3"/>
  <c r="AJ246" i="3"/>
  <c r="AJ247" i="3"/>
  <c r="AJ248" i="3"/>
  <c r="AJ249" i="3"/>
  <c r="AJ250" i="3"/>
  <c r="AJ251" i="3"/>
  <c r="AJ252" i="3"/>
  <c r="AJ253" i="3"/>
  <c r="AJ254" i="3"/>
  <c r="AJ255" i="3"/>
  <c r="AJ256" i="3"/>
  <c r="AJ257" i="3"/>
  <c r="AJ258" i="3"/>
  <c r="AJ259" i="3"/>
  <c r="AJ260" i="3"/>
  <c r="AJ261" i="3"/>
  <c r="AJ262" i="3"/>
  <c r="AJ263" i="3"/>
  <c r="AJ264" i="3"/>
  <c r="AJ265" i="3"/>
  <c r="AJ266" i="3"/>
  <c r="AJ267" i="3"/>
  <c r="AJ268" i="3"/>
  <c r="AJ269" i="3"/>
  <c r="AJ270" i="3"/>
  <c r="AJ271" i="3"/>
  <c r="AJ272" i="3"/>
  <c r="AJ273" i="3"/>
  <c r="AJ274" i="3"/>
  <c r="AJ275" i="3"/>
  <c r="AJ276" i="3"/>
  <c r="AJ277" i="3"/>
  <c r="AJ278" i="3"/>
  <c r="AJ279" i="3"/>
  <c r="AJ280" i="3"/>
  <c r="AJ281" i="3"/>
  <c r="AJ282" i="3"/>
  <c r="AJ283" i="3"/>
  <c r="AJ284" i="3"/>
  <c r="AJ285" i="3"/>
  <c r="AJ286" i="3"/>
  <c r="AJ287" i="3"/>
  <c r="AJ288" i="3"/>
  <c r="AJ289" i="3"/>
  <c r="AJ290" i="3"/>
  <c r="AJ291" i="3"/>
  <c r="AJ292" i="3"/>
  <c r="AJ293" i="3"/>
  <c r="AJ294" i="3"/>
  <c r="AJ295" i="3"/>
  <c r="AJ296" i="3"/>
  <c r="AJ297" i="3"/>
  <c r="AJ298" i="3"/>
  <c r="AJ299" i="3"/>
  <c r="AJ300" i="3"/>
  <c r="AJ301" i="3"/>
  <c r="AJ302" i="3"/>
  <c r="AJ303" i="3"/>
  <c r="AJ304" i="3"/>
  <c r="AJ305" i="3"/>
  <c r="AJ306" i="3"/>
  <c r="AJ307" i="3"/>
  <c r="AJ308" i="3"/>
  <c r="AJ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8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235" i="3"/>
  <c r="AI236" i="3"/>
  <c r="AI237" i="3"/>
  <c r="AI238" i="3"/>
  <c r="AI239" i="3"/>
  <c r="AI240" i="3"/>
  <c r="AI241" i="3"/>
  <c r="AI242" i="3"/>
  <c r="AI243" i="3"/>
  <c r="AI244" i="3"/>
  <c r="AI245" i="3"/>
  <c r="AI246" i="3"/>
  <c r="AI247" i="3"/>
  <c r="AI248" i="3"/>
  <c r="AI249" i="3"/>
  <c r="AI250" i="3"/>
  <c r="AI251" i="3"/>
  <c r="AI252" i="3"/>
  <c r="AI253" i="3"/>
  <c r="AI254" i="3"/>
  <c r="AI255" i="3"/>
  <c r="AI256" i="3"/>
  <c r="AI257" i="3"/>
  <c r="AI258" i="3"/>
  <c r="AI259" i="3"/>
  <c r="AI260" i="3"/>
  <c r="AI261" i="3"/>
  <c r="AI262" i="3"/>
  <c r="AI263" i="3"/>
  <c r="AI264" i="3"/>
  <c r="AI265" i="3"/>
  <c r="AI266" i="3"/>
  <c r="AI267" i="3"/>
  <c r="AI268" i="3"/>
  <c r="AI269" i="3"/>
  <c r="AI270" i="3"/>
  <c r="AI271" i="3"/>
  <c r="AI272" i="3"/>
  <c r="AI273" i="3"/>
  <c r="AI274" i="3"/>
  <c r="AI275" i="3"/>
  <c r="AI276" i="3"/>
  <c r="AI277" i="3"/>
  <c r="AI278" i="3"/>
  <c r="AI279" i="3"/>
  <c r="AI280" i="3"/>
  <c r="AI281" i="3"/>
  <c r="AI282" i="3"/>
  <c r="AI283" i="3"/>
  <c r="AI284" i="3"/>
  <c r="AI285" i="3"/>
  <c r="AI286" i="3"/>
  <c r="AI287" i="3"/>
  <c r="AI288" i="3"/>
  <c r="AI289" i="3"/>
  <c r="AI290" i="3"/>
  <c r="AI291" i="3"/>
  <c r="AI292" i="3"/>
  <c r="AI293" i="3"/>
  <c r="AI294" i="3"/>
  <c r="AI295" i="3"/>
  <c r="AI296" i="3"/>
  <c r="AI297" i="3"/>
  <c r="AI298" i="3"/>
  <c r="AI299" i="3"/>
  <c r="AI300" i="3"/>
  <c r="AI301" i="3"/>
  <c r="AI302" i="3"/>
  <c r="AI303" i="3"/>
  <c r="AI304" i="3"/>
  <c r="AI305" i="3"/>
  <c r="AI306" i="3"/>
  <c r="AI307" i="3"/>
  <c r="AI308" i="3"/>
  <c r="AI7" i="3"/>
  <c r="AK5" i="2" l="1"/>
  <c r="AM5" i="2" l="1"/>
  <c r="AL5" i="2"/>
  <c r="AL8" i="2"/>
  <c r="AL9" i="2"/>
  <c r="AM12" i="2"/>
  <c r="AM11" i="2"/>
  <c r="AM10" i="2"/>
  <c r="AM9" i="2"/>
  <c r="AM8" i="2"/>
  <c r="AM7" i="2"/>
  <c r="AM6" i="2"/>
  <c r="AL12" i="2"/>
  <c r="AL11" i="2"/>
  <c r="AL10" i="2"/>
  <c r="AL7" i="2"/>
  <c r="AL6" i="2"/>
  <c r="AK11" i="2"/>
  <c r="AK12" i="2"/>
  <c r="AK10" i="2"/>
  <c r="AK6" i="2"/>
  <c r="AK9" i="2"/>
  <c r="AK8" i="2"/>
  <c r="AK7" i="2"/>
</calcChain>
</file>

<file path=xl/sharedStrings.xml><?xml version="1.0" encoding="utf-8"?>
<sst xmlns="http://schemas.openxmlformats.org/spreadsheetml/2006/main" count="493" uniqueCount="305">
  <si>
    <t>ตารางสรุปสถานประกอบการนักศึกษาสหกิจศึกษา ประจำปีการศึกษา 2559-2561 ยกว้นสาขาฟิสิกส์2558)</t>
  </si>
  <si>
    <t xml:space="preserve">  งานสหกิจศึกษา คณะวิทยาศาสตร์และเทคโนโลยี   </t>
  </si>
  <si>
    <t>มหาวิทยาลัยเทคโนโลยีราชมงคลธัญบุรี</t>
  </si>
  <si>
    <t>ลำดับ</t>
  </si>
  <si>
    <t xml:space="preserve">ชื่อ - สกุล อาจารย์นิเทศ </t>
  </si>
  <si>
    <t>เบอร์โทร</t>
  </si>
  <si>
    <t xml:space="preserve">ชื่อ - สกุล </t>
  </si>
  <si>
    <t>ผลการพิจารณา</t>
  </si>
  <si>
    <t>ลายมือชื่อ</t>
  </si>
  <si>
    <t>ผู้รับเอกสาร</t>
  </si>
  <si>
    <t>ตอบรับ</t>
  </si>
  <si>
    <t>รอผล</t>
  </si>
  <si>
    <t>B</t>
  </si>
  <si>
    <t>CH</t>
  </si>
  <si>
    <t>PH</t>
  </si>
  <si>
    <t>ST</t>
  </si>
  <si>
    <t>CS</t>
  </si>
  <si>
    <t>CT</t>
  </si>
  <si>
    <t>M</t>
  </si>
  <si>
    <t xml:space="preserve">นางสาวศศิณา ไผ่งาม </t>
  </si>
  <si>
    <t>P</t>
  </si>
  <si>
    <t>2. นางสาวสุจินันท์ หอมสุด</t>
  </si>
  <si>
    <t xml:space="preserve">        2. นางสาวสุจินันท์ หอมสุด</t>
  </si>
  <si>
    <t>1. นายธนธรณ์ พานทอง</t>
  </si>
  <si>
    <t>2. นางสาวเสาวลักษณ์ สิงห์เรือง</t>
  </si>
  <si>
    <t xml:space="preserve">    2. นางสาวเสาวลักษณ์ สิงห์เรือง</t>
  </si>
  <si>
    <t xml:space="preserve">นายธรรมนูญ ชื่นอารมย์ </t>
  </si>
  <si>
    <t>1. นางสาววิลาวัลย์ ทรัพย์เจริญ</t>
  </si>
  <si>
    <t>2. นางสาวอภิญญา วะรงค์</t>
  </si>
  <si>
    <t xml:space="preserve">        2. นางสาวอภิญญา วะรงค์</t>
  </si>
  <si>
    <t>1. นางสาวจิตมณี ดอกมณฑา</t>
  </si>
  <si>
    <t>2. นางสาวสุพิชญา สุระกิจ</t>
  </si>
  <si>
    <t xml:space="preserve">        2. นางสาวสุพิชญา สุระกิจ</t>
  </si>
  <si>
    <t xml:space="preserve">1. นางสาวอัมพวรรณ บวบดี </t>
  </si>
  <si>
    <t xml:space="preserve">2. นายอัศราธิพงษ์ มั่นเขตรวิทย์ </t>
  </si>
  <si>
    <t xml:space="preserve">    2. นายอัศราธิพงษ์ มั่นเขตรวิทย์ </t>
  </si>
  <si>
    <t xml:space="preserve">นางสาวบุญฑริกา แสงอาทิตย์ </t>
  </si>
  <si>
    <t>1. นายอภิพัฒน์ หนูเทพย์</t>
  </si>
  <si>
    <t>2. นายนัชพล ดีเอี่ยม</t>
  </si>
  <si>
    <t xml:space="preserve">    2. นายนัชพล ดีเอี่ยม</t>
  </si>
  <si>
    <t>1.น.ส. วนิดา คลี่ใบ</t>
  </si>
  <si>
    <t>2.น.ส. พัชรีรัตน์  เยื่อมีใย</t>
  </si>
  <si>
    <t>1. นายธีรธัช ทัศศรีทัน</t>
  </si>
  <si>
    <t>2. นางสาวเบญญาภา สารมะโน</t>
  </si>
  <si>
    <t xml:space="preserve">นางสาวฉัตรธิดา ฉลาดเก็บ </t>
  </si>
  <si>
    <t xml:space="preserve">    2. นางสาวเบญญาภา สารมะโน </t>
  </si>
  <si>
    <t>1. นายทนงศักดิ์ ศิริฟัก</t>
  </si>
  <si>
    <t>2. นายธนภูมิ เอกจิตร์</t>
  </si>
  <si>
    <t>1. Mr.Songheng Orn (มังกร)</t>
  </si>
  <si>
    <t>การเคหะแห่งชาติ</t>
  </si>
  <si>
    <t>ประธานมูลนิธิสากลเพื่อคนพิการ</t>
  </si>
  <si>
    <t>บางกอกแคน แมนนูแฟคเจอริ่ง</t>
  </si>
  <si>
    <t>สำนักงานสถิติปทุมธานี</t>
  </si>
  <si>
    <t>สำนักงานประกันสังคม</t>
  </si>
  <si>
    <t>มิซูบิชิ</t>
  </si>
  <si>
    <t>ฟาบริเนท</t>
  </si>
  <si>
    <t>กู๊ดเยียร์</t>
  </si>
  <si>
    <t>ธนาคารออมสิน</t>
  </si>
  <si>
    <t>ธนาคารเพื่อการเกษตรและสหกรณ์</t>
  </si>
  <si>
    <t>แอ๊บโซลูทโซลูซีน</t>
  </si>
  <si>
    <t>ประกันคุ้มภัย</t>
  </si>
  <si>
    <t>สถิติแห่งชาติ</t>
  </si>
  <si>
    <t>อธิการบดีกรมอุตุนิยมวิทยา</t>
  </si>
  <si>
    <t>ศูนย์การแพทย์สมเด็จพระเทพ</t>
  </si>
  <si>
    <t>สำนักงานกระทรวงการคลัง</t>
  </si>
  <si>
    <t>สำนักงาเศรษฐกิจการคลัง</t>
  </si>
  <si>
    <t>โรงเรียนรัตนาธิเบศร์</t>
  </si>
  <si>
    <t>โรงเรียนดรุณาราชบุรี</t>
  </si>
  <si>
    <t>โรงเรียนพัฒนานิคม</t>
  </si>
  <si>
    <t>โรงเรียนสีคิ้ว สวัสดิ์ผดุงวิทยา</t>
  </si>
  <si>
    <t>รังสิตพลาซ่า จำกัด</t>
  </si>
  <si>
    <t>ปตท (อยุธยยา)</t>
  </si>
  <si>
    <t>ไทยแอ็กโกรเอ็กซเชนจ์ จำกัด</t>
  </si>
  <si>
    <t>การไฟฟ้าคลอง 1</t>
  </si>
  <si>
    <t>สนามบินดอนเมือง</t>
  </si>
  <si>
    <t>อิฟ ซอส (สุขุม)</t>
  </si>
  <si>
    <t>อพวช.</t>
  </si>
  <si>
    <t>รพ.เปาโล (รังสิต)</t>
  </si>
  <si>
    <t>TOA เพ้นท์</t>
  </si>
  <si>
    <t>สตาร์บัค</t>
  </si>
  <si>
    <t>สรรพสามิต</t>
  </si>
  <si>
    <t>กิฟฟารีน</t>
  </si>
  <si>
    <t>สหกรณ์การเกษตร</t>
  </si>
  <si>
    <t>ศูนย์ฉายรังสี</t>
  </si>
  <si>
    <t>ซีอาร์จี</t>
  </si>
  <si>
    <t>ท่อส่งปิโตรเลี่ยมไทย</t>
  </si>
  <si>
    <t>สถาบันพัฒนาและฝึกอบรม</t>
  </si>
  <si>
    <t>สหกรณ์โคนมวังเย็น</t>
  </si>
  <si>
    <t>ซีพีแรม</t>
  </si>
  <si>
    <t>ทรัพยากรบุคคล</t>
  </si>
  <si>
    <t>วว.</t>
  </si>
  <si>
    <t>ไมทิติ</t>
  </si>
  <si>
    <t>สวทช.</t>
  </si>
  <si>
    <t>กระทวงยุติธรรม</t>
  </si>
  <si>
    <t>กรมปศุสัตว์</t>
  </si>
  <si>
    <t>ศูนย์พิพรุวิศวกรรม</t>
  </si>
  <si>
    <t>เอ็นไวรอนเมนท์</t>
  </si>
  <si>
    <t>ศูนย์เทคโนโลยีแห่งชาติ</t>
  </si>
  <si>
    <t>กองพิสูจน์หลักฐาน</t>
  </si>
  <si>
    <t>ทีโอเอเคมีวอลส์</t>
  </si>
  <si>
    <t>เจ้ากรมแพทย์ทหารอากาศ</t>
  </si>
  <si>
    <t>ไทยน้ำทิพย์</t>
  </si>
  <si>
    <t>ยูด้า</t>
  </si>
  <si>
    <t>ซันสยาม</t>
  </si>
  <si>
    <t>องค์การเภสัช</t>
  </si>
  <si>
    <t>ห้องปฏิบัติการกลาง</t>
  </si>
  <si>
    <t>พิสูจน์หลังฐาน</t>
  </si>
  <si>
    <t>แอลเอฟพิวติ์</t>
  </si>
  <si>
    <t>ไทยบริดสโตน</t>
  </si>
  <si>
    <t>ต่างประเทศ</t>
  </si>
  <si>
    <t xml:space="preserve"> </t>
  </si>
  <si>
    <t>บริษัท เทคนิคอล ทีม จำกัด</t>
  </si>
  <si>
    <t>บริษัท เบย์ คอมพิวติ้ง จำกัด</t>
  </si>
  <si>
    <t>กรมอุตุนิยมวิทยา กทม.</t>
  </si>
  <si>
    <t>ศูนย์เทคโนโลยีอิเล็กทรอนิกส์และคอมพิวเตอร์แห่งชาติ</t>
  </si>
  <si>
    <t>ปูนทรีเมนท์นครหลวง จำกัด มหาชน</t>
  </si>
  <si>
    <t>EIC เซมิคอนดักเตอร์ จำกัด</t>
  </si>
  <si>
    <t>ศูนย์นาโนเทคโนโลยีแห่งชาติ</t>
  </si>
  <si>
    <t>สำนักงานตำรวจแห่งชาติ</t>
  </si>
  <si>
    <t>สถาบันมาตรวิยาแห่งชาติ</t>
  </si>
  <si>
    <t>บริษัท อุตสาหกรรมการบิน จำกัด</t>
  </si>
  <si>
    <t>กองพัสดุสื่อสารอิเล็กรอนิกส์ ดอนเมือง</t>
  </si>
  <si>
    <t>สถาบันพัฒนาเยาวชนโลก ศูนย์พัฒนาเทคโนโลยี</t>
  </si>
  <si>
    <t>เพื่อศัลยกรรม</t>
  </si>
  <si>
    <t>บริษัท ดิจิตอล สกรีนเพลย์ จำกัด</t>
  </si>
  <si>
    <t>บริษัท ฟาบริเนท จำกัด</t>
  </si>
  <si>
    <t>ไอ.ซี.ซี. อินเตอร์เนชั่นแนล จำกัด</t>
  </si>
  <si>
    <t>บริษัท เอ็นอีซี แพลทฟอร์มไทย จำกัด</t>
  </si>
  <si>
    <t>บริษัท เอ็ม เอฟ อี ซี จำกัด (มหาชน)</t>
  </si>
  <si>
    <t>University Islam Indonesia</t>
  </si>
  <si>
    <t>National Pingtung University(NPTU)</t>
  </si>
  <si>
    <t>บริษัท วิเกอร์เทค จำกัด</t>
  </si>
  <si>
    <t>บริษัท ไพอาร์ สแควร์ จำกัด</t>
  </si>
  <si>
    <t>บริษัท เอ พี อินชัวรันส์ โบรคเกอร์ จำกัด</t>
  </si>
  <si>
    <t>บริษัท มายาวดี ไอที โซลูชั่น จำกัด</t>
  </si>
  <si>
    <t>บริษัท รีเสิร์ช ฟอร์ ไลฟ์ จำกัด</t>
  </si>
  <si>
    <t>โรงเรียนวัดสว่างอารมณ์</t>
  </si>
  <si>
    <t>กรมสื่อสารอิเล็กรอนิกส์ทหารอากาศ</t>
  </si>
  <si>
    <t>ซอฟต์สแควร์</t>
  </si>
  <si>
    <t>บริษัท พีทีพี เอ็นจิเนียริ่ง</t>
  </si>
  <si>
    <t>โฟร์ฟู้ด</t>
  </si>
  <si>
    <t>คลิกเพ็กซ์</t>
  </si>
  <si>
    <t>วี-สมาร์ท</t>
  </si>
  <si>
    <t>Workmotion Creative</t>
  </si>
  <si>
    <t>ซอฟต์สแควร์อินเตอร์เนชั่นแนล</t>
  </si>
  <si>
    <t>ฟิวเจอร์ไลฟ์สไตล์</t>
  </si>
  <si>
    <t>เลอรินมาลานซ์กรุ๊ป</t>
  </si>
  <si>
    <t>ซีนาโลส</t>
  </si>
  <si>
    <t>TOT</t>
  </si>
  <si>
    <t>เจ้ากรมยุทธการหาร กองบัญชาการ</t>
  </si>
  <si>
    <t>CDG ซิสเต็มส์</t>
  </si>
  <si>
    <t>national institute of technology</t>
  </si>
  <si>
    <t>hokkaido information university</t>
  </si>
  <si>
    <t>เอ็นเอ็กซ์พี แมนูแฟคเจอริ่ง(ไทยแลนด์)จำกัด</t>
  </si>
  <si>
    <t>เอเชียนสแตนเลย์ อินเตอร์เนชั่นแนล จำกัด</t>
  </si>
  <si>
    <t xml:space="preserve"> ซีพี รีเทลลิงค์ จำกัด</t>
  </si>
  <si>
    <t>ทีโอที จำกัด (มหาชน)</t>
  </si>
  <si>
    <t>สามารถคอร์ปอเรชั่น จำกัด (มหาชน)</t>
  </si>
  <si>
    <t>เบย์ คอมพิวติ้ง จำกัด</t>
  </si>
  <si>
    <t>อันฟอร์เมชั่นเซอร์วิสแอนด์คอลซัลแทนท์ จำกัด</t>
  </si>
  <si>
    <t>ชุนบ็อก จำกัด</t>
  </si>
  <si>
    <t>จักรวาลคอมมิวนิเคชั่น ซีลเท็ม จำกัด</t>
  </si>
  <si>
    <t>สยามรีเทล ดีเวลล็อปเม้นท์ จำกัด</t>
  </si>
  <si>
    <t>อีสท์อินโนเวชั่น จำกัด</t>
  </si>
  <si>
    <t xml:space="preserve"> ท่าอากาศยานไทย จำกัด</t>
  </si>
  <si>
    <t>เตียวฮงสีลม จำกัด</t>
  </si>
  <si>
    <t xml:space="preserve"> ไอที แมนเนจเมนท์ จำกัด</t>
  </si>
  <si>
    <t xml:space="preserve"> ดีซี เซอร์วิส เซ็นเตอร์ จำกัด</t>
  </si>
  <si>
    <t>ไอรยา ไบโอเทค</t>
  </si>
  <si>
    <t>องค์การเภสัช กทม.</t>
  </si>
  <si>
    <t>รพ. อรัญประเทศ</t>
  </si>
  <si>
    <t>กองพัฒนา (กรมวิชาการเกษตร)</t>
  </si>
  <si>
    <t>น้ำตาลและอ้อยตะวันออก</t>
  </si>
  <si>
    <t>ไมท์ตี้</t>
  </si>
  <si>
    <t>รพ.ภูมิพลอดุลยเดช</t>
  </si>
  <si>
    <t>กรมวิทย์ทหารบก</t>
  </si>
  <si>
    <t>Excellent Center</t>
  </si>
  <si>
    <t>รพ.ค่ายสมเด็จ (พิษณุโลก)</t>
  </si>
  <si>
    <t>สถาบันค้นคว้าและพัฒนาผลผลิต</t>
  </si>
  <si>
    <t>นิติวิทย์</t>
  </si>
  <si>
    <t>ศูนย์พันธุวิศวกรรม</t>
  </si>
  <si>
    <t>CPF</t>
  </si>
  <si>
    <t>Nation Pingtung</t>
  </si>
  <si>
    <t>PTT โกลบอส</t>
  </si>
  <si>
    <t>ไทยร่วมใจน้ำมันพืช</t>
  </si>
  <si>
    <t>มิลลิเมด</t>
  </si>
  <si>
    <t>LF บิวตี้</t>
  </si>
  <si>
    <t>ปรมาณูเพื่อสันติ</t>
  </si>
  <si>
    <t>SB อินเตอร์แลป</t>
  </si>
  <si>
    <t>ยูเมด้า</t>
  </si>
  <si>
    <t>กรมแพทย์ทหารอากาศ</t>
  </si>
  <si>
    <t>T.O. เคมีคอลล์</t>
  </si>
  <si>
    <t>กรมพัฒนาที่ดินเบตา</t>
  </si>
  <si>
    <t>พรีเมียร์ โพรดักส์</t>
  </si>
  <si>
    <t>นาโนเทคโนโลยีไมโคร</t>
  </si>
  <si>
    <t>เทคนิคอล</t>
  </si>
  <si>
    <t>ศูนย์นาโนแห่งชาติ</t>
  </si>
  <si>
    <t>ศูนย์พิสูจน์หลักฐานกลาง</t>
  </si>
  <si>
    <t>ศูนย์พิสูจน์หลักฐาน1</t>
  </si>
  <si>
    <t>ISET</t>
  </si>
  <si>
    <t>นิวเคลียร์ (นครนายก)</t>
  </si>
  <si>
    <t>สถาบันมาตรวิทยา</t>
  </si>
  <si>
    <t>นิวเคลียร์แห่งชาติ</t>
  </si>
  <si>
    <t>Department National Pingtung University</t>
  </si>
  <si>
    <t>บางกอกกล๊าส</t>
  </si>
  <si>
    <t>สำนักงานประกันสังคมพื้นที่ 5</t>
  </si>
  <si>
    <t>ชัยชนะปาล์มออยล์</t>
  </si>
  <si>
    <t>JVC เคนวูด อิเล็กทรอนิก</t>
  </si>
  <si>
    <t>โรงแรมเนเซอรัล</t>
  </si>
  <si>
    <t>การไฟฟ้าส่วนภูมิภาค</t>
  </si>
  <si>
    <t>โรงเรียนนายเรืออากาศ</t>
  </si>
  <si>
    <t>กรมสนับสนุนบริการสุขภาพ</t>
  </si>
  <si>
    <t>องค์การคลังสินค้า</t>
  </si>
  <si>
    <t>เพนกวินสตูดิโอ</t>
  </si>
  <si>
    <t>ไทยแอร์เอเชีย</t>
  </si>
  <si>
    <t xml:space="preserve">สถาบันพัฒนาเยาวชนโลก </t>
  </si>
  <si>
    <t>ไทยคม</t>
  </si>
  <si>
    <t>สำนักงานพัฒนาเทคโนโลยีอวกาศและภูมิสารสน</t>
  </si>
  <si>
    <t>สถาบันวัตกรรม TOT</t>
  </si>
  <si>
    <t>บริการเชื้อเพลิงการบินกรุงเทพ</t>
  </si>
  <si>
    <t>เจเอสแอล โกลบอล มีเดีย</t>
  </si>
  <si>
    <t>พรอมท์นาว</t>
  </si>
  <si>
    <t>พอร์ทอลพอร์ลิส จำกัด</t>
  </si>
  <si>
    <t>สถาบันเทคโนโลยีนานาชาติสิรินธร</t>
  </si>
  <si>
    <t>แอ็บโซลูท โซลูชั่น จำกัด</t>
  </si>
  <si>
    <t>กรมอนามัย</t>
  </si>
  <si>
    <t>โรงเรียนอำนวยวิทย์</t>
  </si>
  <si>
    <t>I.C.C. อินเตอร์เนชั่นแนล</t>
  </si>
  <si>
    <t>MFEC จำกัด</t>
  </si>
  <si>
    <t>รังสิต ซอฟต์ จำกัด</t>
  </si>
  <si>
    <t>ซอฟต์สแควร์ อินเตอร์เนชั่นแนล</t>
  </si>
  <si>
    <t>ลีโอ เทคโนโลยี &amp; มาเกตติ้ง</t>
  </si>
  <si>
    <t>National institule of technology hagawa College</t>
  </si>
  <si>
    <t>IT กรีน จำกัด</t>
  </si>
  <si>
    <t>องค์การพิพิธภัณฑ์วิทยาศาสตร์แห่งชาติ</t>
  </si>
  <si>
    <t>รีเสิร์ซ ฟอร์ไลฟ์</t>
  </si>
  <si>
    <t>สมาร์ทเอ็นเนอร์ยีเทคโนโลยี</t>
  </si>
  <si>
    <t>กรมขนส่งทางบก</t>
  </si>
  <si>
    <t>CDG ซาเต็มส์</t>
  </si>
  <si>
    <t>บิสซิเนสคอมเบิดทิทีป</t>
  </si>
  <si>
    <t>ไดซิน จำกัด</t>
  </si>
  <si>
    <t>สถาบันมาตรวิทยาแห่งชาติ</t>
  </si>
  <si>
    <t>JTC เคนวูดอิเล็กทรอนิกส์</t>
  </si>
  <si>
    <t>K.K. โพลิสเซอร์</t>
  </si>
  <si>
    <t>สำนักงานเศรษฐกิจการเกษตร</t>
  </si>
  <si>
    <t>บริษัติเตียงฮงสีลม</t>
  </si>
  <si>
    <t>CP-เมจิ (สระบุรี)</t>
  </si>
  <si>
    <t>รพ.ศูนย์การแพทย์สมเด็จพระเทพ</t>
  </si>
  <si>
    <t>ทหารบกที่ 18</t>
  </si>
  <si>
    <t>OMM</t>
  </si>
  <si>
    <t>ไมโครซิพเทค</t>
  </si>
  <si>
    <t>เซรามิค</t>
  </si>
  <si>
    <t>IT Network</t>
  </si>
  <si>
    <t>กสท.</t>
  </si>
  <si>
    <t>เมโทรซิลเต็มส์คอร์ปอเรชั่น</t>
  </si>
  <si>
    <t>การไฟฟ้าเขตอยุธยา</t>
  </si>
  <si>
    <t>ไทยเควสท์</t>
  </si>
  <si>
    <t>ว้าวด้า</t>
  </si>
  <si>
    <t>เบย์ คอมพิวติ้ง</t>
  </si>
  <si>
    <t>ISC</t>
  </si>
  <si>
    <t>ทูเฟลโลล์</t>
  </si>
  <si>
    <t>ท่าอากาศยานสุวรรณภูมิ</t>
  </si>
  <si>
    <t>รพ.ธัญบุรี</t>
  </si>
  <si>
    <t>E-C.O.P.</t>
  </si>
  <si>
    <t>KSC อินเตอร์เน็ตจำกัด</t>
  </si>
  <si>
    <t>TOT (ปทุมธานี)</t>
  </si>
  <si>
    <t>JASPAL COMPANY LIMITED</t>
  </si>
  <si>
    <t>โรงเรียนการบิน</t>
  </si>
  <si>
    <t>ร.ร.เทพศิรินทร์ร่มเกล้า</t>
  </si>
  <si>
    <t>ร.ร.สิงค์บุรี</t>
  </si>
  <si>
    <t>อักษรเจริญทัศน์</t>
  </si>
  <si>
    <t>บลู&amp;ไวท์ โลจิสติกส์</t>
  </si>
  <si>
    <t>การไฟฟ้าส่วนภูมิภาคเขต3</t>
  </si>
  <si>
    <t>ร.ร.เทพศิรินทร์คลอง13</t>
  </si>
  <si>
    <t>ร.ร.นวมินทร์ราชานุสรณ์</t>
  </si>
  <si>
    <t>สำนักงานพัฒนาที่ดิน</t>
  </si>
  <si>
    <t>ร.ร.บางน้ำเปรี้ยววิทยา</t>
  </si>
  <si>
    <t xml:space="preserve">กรมอุตุนิยมวิทยา </t>
  </si>
  <si>
    <t>โรงเรียนธัญรัตน์</t>
  </si>
  <si>
    <t>สำนักงานที่ดินกรุงเทพมหานคร</t>
  </si>
  <si>
    <t>National Pingtung University ไต้หวัน</t>
  </si>
  <si>
    <t>เอนไวรอนเมนท์</t>
  </si>
  <si>
    <t>ห้องปฏิบัติการเคมีอินทรีย์สังเคราะห์</t>
  </si>
  <si>
    <t>อาคามีสเคม</t>
  </si>
  <si>
    <t>สถาบันวิทยาศาสตร์และเทคโนโลยีแห่งชาติ</t>
  </si>
  <si>
    <t>สถาบันวิทยาศาสตร์และเทคโนโลยีแห่งประเทศไทย</t>
  </si>
  <si>
    <t>ห้องปฏิบัติการกลางประเทศไทย</t>
  </si>
  <si>
    <t>ชุมชนเภสัชกรรม</t>
  </si>
  <si>
    <t>โรงงานเภสัชกรรมอาหาร</t>
  </si>
  <si>
    <t>ฟาร์มาอินโนรา</t>
  </si>
  <si>
    <t>กรมวิทยาศาสตร์บริการ</t>
  </si>
  <si>
    <t>องค์การกรรมเคมี</t>
  </si>
  <si>
    <t>สำนักงานพัฒนาที่ดินเขต1</t>
  </si>
  <si>
    <t>บางกอกเคนแมนนูแฟกเจอริ่ง</t>
  </si>
  <si>
    <t>สถาบันเทคโนโลยีนิวเคลียร์แห่งชาติ</t>
  </si>
  <si>
    <t>จีโนมิกส์อินเตอร์เนชั่น</t>
  </si>
  <si>
    <t>เวสเทิร์นดิจิทอล</t>
  </si>
  <si>
    <t>ศูนย์จิจัยข้าวปทุมธานี</t>
  </si>
  <si>
    <t>ไทยเคนเปเปอร์</t>
  </si>
  <si>
    <t>บริษัท เอ็ม เอส ไอ จี ประกันภัย (ประเทศไทย) จำกัด</t>
  </si>
  <si>
    <t>บริษัท ทริปเปิลทีบรอดแบรนด์ จำกัด</t>
  </si>
  <si>
    <t>Information Service and Consultant</t>
  </si>
  <si>
    <t>รายชื่อสถานประกอบการ</t>
  </si>
  <si>
    <t>จำนวนนศ.รวมทั้งหมด</t>
  </si>
  <si>
    <t>จำนวนที่รับสาขาอื่นซ้ำด้วย รวมทั้งหมด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</si>
</sst>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87" formatCode="_-* #,##0_-;\-* #,##0_-;_-* &quot;-&quot;??_-;_-@_-"/>
  </numFmts>
  <fonts count="10" x14ac:knownFonts="1">
    <font>
      <sz val="11"/>
      <color theme="1"/>
      <name val="Tahoma"/>
      <family val="2"/>
      <charset val="222"/>
      <scheme val="minor"/>
    </font>
    <font>
      <sz val="14"/>
      <color theme="1"/>
      <name val="TH SarabunPSK"/>
      <family val="2"/>
    </font>
    <font>
      <sz val="13"/>
      <color theme="1"/>
      <name val="TH SarabunPSK"/>
      <family val="2"/>
    </font>
    <font>
      <sz val="14"/>
      <color rgb="FF222222"/>
      <name val="TH SarabunPSK"/>
      <family val="2"/>
    </font>
    <font>
      <sz val="14"/>
      <name val="TH SarabunPSK"/>
      <family val="2"/>
    </font>
    <font>
      <u/>
      <sz val="11"/>
      <color theme="10"/>
      <name val="Tahoma"/>
      <family val="2"/>
      <charset val="222"/>
      <scheme val="minor"/>
    </font>
    <font>
      <sz val="14"/>
      <color rgb="FFFF0000"/>
      <name val="TH SarabunPSK"/>
      <family val="2"/>
    </font>
    <font>
      <sz val="14"/>
      <color theme="1" tint="4.9989318521683403E-2"/>
      <name val="TH SarabunPSK"/>
      <family val="2"/>
    </font>
    <font>
      <sz val="11"/>
      <color theme="1"/>
      <name val="Tahoma"/>
      <family val="2"/>
      <charset val="222"/>
      <scheme val="minor"/>
    </font>
    <font>
      <sz val="11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43" fontId="8" fillId="0" borderId="0" applyFont="0" applyFill="0" applyBorder="0" applyAlignment="0" applyProtection="0"/>
  </cellStyleXfs>
  <cellXfs count="145">
    <xf numFmtId="0" fontId="0" fillId="0" borderId="0" xfId="0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" xfId="0" applyFont="1" applyBorder="1"/>
    <xf numFmtId="0" fontId="1" fillId="0" borderId="13" xfId="0" applyFont="1" applyBorder="1" applyAlignment="1">
      <alignment horizontal="center" vertical="center"/>
    </xf>
    <xf numFmtId="0" fontId="3" fillId="0" borderId="8" xfId="0" applyFont="1" applyBorder="1"/>
    <xf numFmtId="0" fontId="1" fillId="2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2" borderId="8" xfId="0" applyFont="1" applyFill="1" applyBorder="1" applyAlignment="1">
      <alignment horizontal="left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2" borderId="2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/>
    </xf>
    <xf numFmtId="0" fontId="1" fillId="0" borderId="25" xfId="0" applyFont="1" applyBorder="1" applyAlignment="1">
      <alignment horizontal="justify" vertical="center"/>
    </xf>
    <xf numFmtId="0" fontId="1" fillId="0" borderId="26" xfId="0" applyFont="1" applyBorder="1" applyAlignment="1">
      <alignment horizontal="justify" vertical="center"/>
    </xf>
    <xf numFmtId="0" fontId="1" fillId="0" borderId="27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4" fillId="2" borderId="8" xfId="0" applyFont="1" applyFill="1" applyBorder="1" applyAlignment="1">
      <alignment horizontal="left" vertical="center"/>
    </xf>
    <xf numFmtId="0" fontId="1" fillId="2" borderId="19" xfId="0" applyFont="1" applyFill="1" applyBorder="1" applyAlignment="1">
      <alignment horizontal="center" vertical="center"/>
    </xf>
    <xf numFmtId="0" fontId="1" fillId="0" borderId="5" xfId="0" applyFont="1" applyBorder="1"/>
    <xf numFmtId="0" fontId="1" fillId="0" borderId="5" xfId="0" applyFont="1" applyBorder="1" applyAlignment="1">
      <alignment horizontal="justify" vertical="center"/>
    </xf>
    <xf numFmtId="0" fontId="1" fillId="0" borderId="6" xfId="0" applyFont="1" applyBorder="1"/>
    <xf numFmtId="0" fontId="1" fillId="0" borderId="25" xfId="0" applyFont="1" applyBorder="1"/>
    <xf numFmtId="0" fontId="1" fillId="0" borderId="26" xfId="0" applyFont="1" applyBorder="1"/>
    <xf numFmtId="0" fontId="1" fillId="2" borderId="19" xfId="0" applyFont="1" applyFill="1" applyBorder="1" applyAlignment="1">
      <alignment horizontal="left" vertical="center"/>
    </xf>
    <xf numFmtId="0" fontId="3" fillId="0" borderId="19" xfId="0" applyFont="1" applyBorder="1"/>
    <xf numFmtId="0" fontId="3" fillId="0" borderId="22" xfId="0" applyFont="1" applyBorder="1"/>
    <xf numFmtId="0" fontId="1" fillId="2" borderId="22" xfId="0" applyFont="1" applyFill="1" applyBorder="1" applyAlignment="1">
      <alignment horizontal="center" vertical="center"/>
    </xf>
    <xf numFmtId="0" fontId="1" fillId="0" borderId="5" xfId="0" applyFont="1" applyBorder="1" applyAlignment="1">
      <alignment vertical="center"/>
    </xf>
    <xf numFmtId="0" fontId="1" fillId="2" borderId="15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/>
    </xf>
    <xf numFmtId="0" fontId="4" fillId="0" borderId="19" xfId="0" applyFont="1" applyBorder="1" applyAlignment="1">
      <alignment vertical="center"/>
    </xf>
    <xf numFmtId="0" fontId="4" fillId="0" borderId="19" xfId="0" applyFont="1" applyBorder="1"/>
    <xf numFmtId="0" fontId="4" fillId="0" borderId="22" xfId="0" applyFont="1" applyBorder="1"/>
    <xf numFmtId="0" fontId="1" fillId="0" borderId="19" xfId="0" applyFont="1" applyBorder="1"/>
    <xf numFmtId="0" fontId="1" fillId="0" borderId="0" xfId="0" applyFont="1" applyBorder="1" applyAlignment="1">
      <alignment horizontal="justify" vertical="center"/>
    </xf>
    <xf numFmtId="0" fontId="1" fillId="0" borderId="8" xfId="0" applyFont="1" applyBorder="1" applyAlignment="1">
      <alignment horizontal="justify" vertical="center"/>
    </xf>
    <xf numFmtId="0" fontId="1" fillId="0" borderId="0" xfId="0" applyFont="1" applyBorder="1"/>
    <xf numFmtId="0" fontId="1" fillId="0" borderId="8" xfId="0" applyFont="1" applyBorder="1"/>
    <xf numFmtId="0" fontId="1" fillId="0" borderId="27" xfId="0" applyFont="1" applyBorder="1" applyAlignment="1">
      <alignment horizontal="left" vertical="center"/>
    </xf>
    <xf numFmtId="0" fontId="4" fillId="0" borderId="8" xfId="0" applyFont="1" applyBorder="1"/>
    <xf numFmtId="0" fontId="1" fillId="2" borderId="27" xfId="0" applyFont="1" applyFill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8" xfId="0" applyFont="1" applyBorder="1" applyAlignment="1">
      <alignment vertical="center"/>
    </xf>
    <xf numFmtId="0" fontId="4" fillId="0" borderId="8" xfId="0" applyFont="1" applyBorder="1" applyAlignment="1">
      <alignment horizontal="left"/>
    </xf>
    <xf numFmtId="0" fontId="1" fillId="0" borderId="27" xfId="0" applyFont="1" applyBorder="1"/>
    <xf numFmtId="0" fontId="1" fillId="2" borderId="31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left"/>
    </xf>
    <xf numFmtId="0" fontId="1" fillId="2" borderId="14" xfId="0" applyFont="1" applyFill="1" applyBorder="1" applyAlignment="1">
      <alignment horizontal="left" vertical="center"/>
    </xf>
    <xf numFmtId="0" fontId="4" fillId="2" borderId="21" xfId="0" applyFont="1" applyFill="1" applyBorder="1" applyAlignment="1">
      <alignment horizontal="left" vertical="center"/>
    </xf>
    <xf numFmtId="0" fontId="1" fillId="2" borderId="21" xfId="0" applyFont="1" applyFill="1" applyBorder="1" applyAlignment="1">
      <alignment horizontal="left" vertical="center"/>
    </xf>
    <xf numFmtId="0" fontId="1" fillId="0" borderId="1" xfId="0" applyFont="1" applyBorder="1"/>
    <xf numFmtId="0" fontId="4" fillId="0" borderId="30" xfId="1" applyFont="1" applyBorder="1" applyAlignment="1" applyProtection="1">
      <alignment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27" xfId="0" applyFont="1" applyFill="1" applyBorder="1" applyAlignment="1">
      <alignment horizontal="center" vertical="center"/>
    </xf>
    <xf numFmtId="0" fontId="4" fillId="0" borderId="8" xfId="0" applyFont="1" applyBorder="1" applyAlignment="1">
      <alignment vertical="center"/>
    </xf>
    <xf numFmtId="0" fontId="6" fillId="2" borderId="21" xfId="0" applyFont="1" applyFill="1" applyBorder="1" applyAlignment="1">
      <alignment horizontal="center" vertical="center"/>
    </xf>
    <xf numFmtId="0" fontId="6" fillId="0" borderId="21" xfId="0" applyFont="1" applyBorder="1" applyAlignment="1">
      <alignment vertical="center"/>
    </xf>
    <xf numFmtId="0" fontId="1" fillId="2" borderId="21" xfId="0" applyFont="1" applyFill="1" applyBorder="1" applyAlignment="1">
      <alignment horizontal="center" vertical="top"/>
    </xf>
    <xf numFmtId="0" fontId="1" fillId="2" borderId="22" xfId="0" applyFont="1" applyFill="1" applyBorder="1" applyAlignment="1">
      <alignment horizontal="left" vertical="center"/>
    </xf>
    <xf numFmtId="0" fontId="1" fillId="2" borderId="21" xfId="0" applyFont="1" applyFill="1" applyBorder="1" applyAlignment="1">
      <alignment horizontal="left" vertical="top"/>
    </xf>
    <xf numFmtId="0" fontId="7" fillId="2" borderId="8" xfId="0" applyFont="1" applyFill="1" applyBorder="1" applyAlignment="1">
      <alignment horizontal="center" vertical="center"/>
    </xf>
    <xf numFmtId="0" fontId="7" fillId="0" borderId="21" xfId="0" applyFont="1" applyBorder="1" applyAlignment="1">
      <alignment horizontal="left"/>
    </xf>
    <xf numFmtId="0" fontId="7" fillId="2" borderId="21" xfId="0" applyFont="1" applyFill="1" applyBorder="1" applyAlignment="1">
      <alignment horizontal="center" vertical="center"/>
    </xf>
    <xf numFmtId="0" fontId="7" fillId="0" borderId="14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2" borderId="27" xfId="0" applyFont="1" applyFill="1" applyBorder="1" applyAlignment="1">
      <alignment horizontal="center" vertical="center"/>
    </xf>
    <xf numFmtId="0" fontId="1" fillId="0" borderId="20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left"/>
    </xf>
    <xf numFmtId="0" fontId="1" fillId="0" borderId="1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4" fillId="0" borderId="14" xfId="1" applyFont="1" applyBorder="1" applyAlignment="1" applyProtection="1">
      <alignment vertical="center"/>
    </xf>
    <xf numFmtId="0" fontId="1" fillId="0" borderId="0" xfId="0" applyFont="1" applyBorder="1" applyAlignment="1">
      <alignment horizontal="center" vertical="center"/>
    </xf>
    <xf numFmtId="0" fontId="1" fillId="0" borderId="32" xfId="0" applyFont="1" applyBorder="1" applyAlignment="1">
      <alignment vertical="center"/>
    </xf>
    <xf numFmtId="187" fontId="1" fillId="0" borderId="32" xfId="2" applyNumberFormat="1" applyFont="1" applyBorder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0" borderId="32" xfId="0" applyFont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left"/>
    </xf>
    <xf numFmtId="0" fontId="7" fillId="0" borderId="21" xfId="0" applyFont="1" applyBorder="1" applyAlignment="1">
      <alignment vertical="center"/>
    </xf>
    <xf numFmtId="0" fontId="1" fillId="0" borderId="21" xfId="0" applyFont="1" applyBorder="1" applyAlignment="1">
      <alignment vertical="center"/>
    </xf>
    <xf numFmtId="0" fontId="1" fillId="0" borderId="0" xfId="0" applyFont="1" applyBorder="1" applyAlignment="1">
      <alignment horizontal="center" vertical="center"/>
    </xf>
    <xf numFmtId="2" fontId="1" fillId="0" borderId="0" xfId="0" applyNumberFormat="1" applyFont="1" applyFill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9" xfId="0" applyFont="1" applyBorder="1" applyAlignment="1">
      <alignment vertical="center"/>
    </xf>
    <xf numFmtId="0" fontId="1" fillId="0" borderId="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2" fillId="2" borderId="32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2" borderId="31" xfId="0" applyFont="1" applyFill="1" applyBorder="1" applyAlignment="1">
      <alignment horizontal="center" vertical="center"/>
    </xf>
  </cellXfs>
  <cellStyles count="3">
    <cellStyle name="Hyperlink" xfId="1" builtinId="8"/>
    <cellStyle name="จุลภาค" xfId="2" builtinId="3"/>
    <cellStyle name="ปกติ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h-T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th-TH"/>
              <a:t>สถิติจำนวนนักศึกษาสหกิจศึกษาในแต่ละปี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Data!$AK$5</c:f>
              <c:strCache>
                <c:ptCount val="1"/>
                <c:pt idx="0">
                  <c:v>2559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Data!$AJ$6:$AJ$12</c:f>
              <c:strCache>
                <c:ptCount val="7"/>
                <c:pt idx="0">
                  <c:v>B</c:v>
                </c:pt>
                <c:pt idx="1">
                  <c:v>CH</c:v>
                </c:pt>
                <c:pt idx="2">
                  <c:v>PH</c:v>
                </c:pt>
                <c:pt idx="3">
                  <c:v>ST</c:v>
                </c:pt>
                <c:pt idx="4">
                  <c:v>CS</c:v>
                </c:pt>
                <c:pt idx="5">
                  <c:v>CT</c:v>
                </c:pt>
                <c:pt idx="6">
                  <c:v>M</c:v>
                </c:pt>
              </c:strCache>
            </c:strRef>
          </c:cat>
          <c:val>
            <c:numRef>
              <c:f>Data!$AK$6:$AK$12</c:f>
              <c:numCache>
                <c:formatCode>_-* #,##0_-;\-* #,##0_-;_-* "-"??_-;_-@_-</c:formatCode>
                <c:ptCount val="7"/>
                <c:pt idx="0">
                  <c:v>24</c:v>
                </c:pt>
                <c:pt idx="1">
                  <c:v>37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44</c:v>
                </c:pt>
                <c:pt idx="6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CF-4BD7-AE1F-F8952D2A9CB5}"/>
            </c:ext>
          </c:extLst>
        </c:ser>
        <c:ser>
          <c:idx val="1"/>
          <c:order val="1"/>
          <c:tx>
            <c:strRef>
              <c:f>Data!$AL$5</c:f>
              <c:strCache>
                <c:ptCount val="1"/>
                <c:pt idx="0">
                  <c:v>2560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Data!$AJ$6:$AJ$12</c:f>
              <c:strCache>
                <c:ptCount val="7"/>
                <c:pt idx="0">
                  <c:v>B</c:v>
                </c:pt>
                <c:pt idx="1">
                  <c:v>CH</c:v>
                </c:pt>
                <c:pt idx="2">
                  <c:v>PH</c:v>
                </c:pt>
                <c:pt idx="3">
                  <c:v>ST</c:v>
                </c:pt>
                <c:pt idx="4">
                  <c:v>CS</c:v>
                </c:pt>
                <c:pt idx="5">
                  <c:v>CT</c:v>
                </c:pt>
                <c:pt idx="6">
                  <c:v>M</c:v>
                </c:pt>
              </c:strCache>
            </c:strRef>
          </c:cat>
          <c:val>
            <c:numRef>
              <c:f>Data!$AL$6:$AL$12</c:f>
              <c:numCache>
                <c:formatCode>_-* #,##0_-;\-* #,##0_-;_-* "-"??_-;_-@_-</c:formatCode>
                <c:ptCount val="7"/>
                <c:pt idx="0">
                  <c:v>41</c:v>
                </c:pt>
                <c:pt idx="1">
                  <c:v>27</c:v>
                </c:pt>
                <c:pt idx="2">
                  <c:v>23</c:v>
                </c:pt>
                <c:pt idx="3">
                  <c:v>23</c:v>
                </c:pt>
                <c:pt idx="4">
                  <c:v>73</c:v>
                </c:pt>
                <c:pt idx="5">
                  <c:v>56</c:v>
                </c:pt>
                <c:pt idx="6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CF-4BD7-AE1F-F8952D2A9CB5}"/>
            </c:ext>
          </c:extLst>
        </c:ser>
        <c:ser>
          <c:idx val="2"/>
          <c:order val="2"/>
          <c:tx>
            <c:strRef>
              <c:f>Data!$AM$5</c:f>
              <c:strCache>
                <c:ptCount val="1"/>
                <c:pt idx="0">
                  <c:v>2561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h-TH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Data!$AJ$6:$AJ$12</c:f>
              <c:strCache>
                <c:ptCount val="7"/>
                <c:pt idx="0">
                  <c:v>B</c:v>
                </c:pt>
                <c:pt idx="1">
                  <c:v>CH</c:v>
                </c:pt>
                <c:pt idx="2">
                  <c:v>PH</c:v>
                </c:pt>
                <c:pt idx="3">
                  <c:v>ST</c:v>
                </c:pt>
                <c:pt idx="4">
                  <c:v>CS</c:v>
                </c:pt>
                <c:pt idx="5">
                  <c:v>CT</c:v>
                </c:pt>
                <c:pt idx="6">
                  <c:v>M</c:v>
                </c:pt>
              </c:strCache>
            </c:strRef>
          </c:cat>
          <c:val>
            <c:numRef>
              <c:f>Data!$AM$6:$AM$12</c:f>
              <c:numCache>
                <c:formatCode>_-* #,##0_-;\-* #,##0_-;_-* "-"??_-;_-@_-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0</c:v>
                </c:pt>
                <c:pt idx="3">
                  <c:v>5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CF-4BD7-AE1F-F8952D2A9CB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27143632"/>
        <c:axId val="126714016"/>
        <c:axId val="0"/>
      </c:bar3DChart>
      <c:catAx>
        <c:axId val="12714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126714016"/>
        <c:crosses val="autoZero"/>
        <c:auto val="1"/>
        <c:lblAlgn val="ctr"/>
        <c:lblOffset val="100"/>
        <c:noMultiLvlLbl val="0"/>
      </c:catAx>
      <c:valAx>
        <c:axId val="126714016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127143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685800</xdr:colOff>
      <xdr:row>13</xdr:row>
      <xdr:rowOff>21431</xdr:rowOff>
    </xdr:from>
    <xdr:to>
      <xdr:col>42</xdr:col>
      <xdr:colOff>440530</xdr:colOff>
      <xdr:row>25</xdr:row>
      <xdr:rowOff>92869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676275</xdr:colOff>
          <xdr:row>0</xdr:row>
          <xdr:rowOff>152400</xdr:rowOff>
        </xdr:from>
        <xdr:to>
          <xdr:col>37</xdr:col>
          <xdr:colOff>342900</xdr:colOff>
          <xdr:row>2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อัปเดตข้อมูลสถานประกอบการ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619125</xdr:colOff>
          <xdr:row>0</xdr:row>
          <xdr:rowOff>200025</xdr:rowOff>
        </xdr:from>
        <xdr:to>
          <xdr:col>40</xdr:col>
          <xdr:colOff>209550</xdr:colOff>
          <xdr:row>2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ค้นหาเพื่อแก้ไขข้อมูล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352425</xdr:colOff>
          <xdr:row>0</xdr:row>
          <xdr:rowOff>180975</xdr:rowOff>
        </xdr:from>
        <xdr:to>
          <xdr:col>42</xdr:col>
          <xdr:colOff>638175</xdr:colOff>
          <xdr:row>2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กลับหน้าข้อมูลเดิม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409575</xdr:colOff>
          <xdr:row>0</xdr:row>
          <xdr:rowOff>209550</xdr:rowOff>
        </xdr:from>
        <xdr:to>
          <xdr:col>37</xdr:col>
          <xdr:colOff>361950</xdr:colOff>
          <xdr:row>2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เลือกสาขา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47625</xdr:colOff>
          <xdr:row>0</xdr:row>
          <xdr:rowOff>152400</xdr:rowOff>
        </xdr:from>
        <xdr:to>
          <xdr:col>36</xdr:col>
          <xdr:colOff>438150</xdr:colOff>
          <xdr:row>2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สร้างกราฟ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609600</xdr:colOff>
          <xdr:row>0</xdr:row>
          <xdr:rowOff>161925</xdr:rowOff>
        </xdr:from>
        <xdr:to>
          <xdr:col>39</xdr:col>
          <xdr:colOff>200025</xdr:colOff>
          <xdr:row>2</xdr:row>
          <xdr:rowOff>133350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ค้นหาข้อมูล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66"/>
  <sheetViews>
    <sheetView tabSelected="1" zoomScale="80" zoomScaleNormal="80" workbookViewId="0">
      <pane xSplit="13" ySplit="6" topLeftCell="N7" activePane="bottomRight" state="frozen"/>
      <selection pane="topRight" activeCell="N1" sqref="N1"/>
      <selection pane="bottomLeft" activeCell="A7" sqref="A7"/>
      <selection pane="bottomRight" activeCell="F5" sqref="F5:F6"/>
    </sheetView>
  </sheetViews>
  <sheetFormatPr defaultColWidth="9.125" defaultRowHeight="21.75" x14ac:dyDescent="0.2"/>
  <cols>
    <col min="1" max="1" width="4.125" style="94" customWidth="1"/>
    <col min="2" max="2" width="27.75" style="1" hidden="1" customWidth="1"/>
    <col min="3" max="3" width="20.375" style="1" hidden="1" customWidth="1"/>
    <col min="4" max="4" width="15.875" style="1" hidden="1" customWidth="1"/>
    <col min="5" max="5" width="24.375" style="1" hidden="1" customWidth="1"/>
    <col min="6" max="6" width="40.25" style="1" customWidth="1"/>
    <col min="7" max="7" width="24.125" style="1" hidden="1" customWidth="1"/>
    <col min="8" max="8" width="10" style="94" hidden="1" customWidth="1"/>
    <col min="9" max="9" width="2.75" style="94" hidden="1" customWidth="1"/>
    <col min="10" max="10" width="11.25" style="94" hidden="1" customWidth="1"/>
    <col min="11" max="11" width="9.75" style="94" hidden="1" customWidth="1"/>
    <col min="12" max="12" width="5.375" style="94" hidden="1" customWidth="1"/>
    <col min="13" max="13" width="4.75" style="94" hidden="1" customWidth="1"/>
    <col min="14" max="14" width="3.25" style="94" customWidth="1"/>
    <col min="15" max="19" width="3.25" style="22" customWidth="1"/>
    <col min="20" max="21" width="3.25" style="94" customWidth="1"/>
    <col min="22" max="26" width="3.25" style="22" customWidth="1"/>
    <col min="27" max="28" width="3.25" style="94" customWidth="1"/>
    <col min="29" max="33" width="3.25" style="22" customWidth="1"/>
    <col min="34" max="34" width="3.25" style="94" customWidth="1"/>
    <col min="35" max="35" width="9.125" style="1"/>
    <col min="36" max="36" width="11.125" style="1" customWidth="1"/>
    <col min="37" max="277" width="9.125" style="1"/>
    <col min="278" max="278" width="4.375" style="1" customWidth="1"/>
    <col min="279" max="279" width="27" style="1" customWidth="1"/>
    <col min="280" max="280" width="26" style="1" customWidth="1"/>
    <col min="281" max="281" width="0" style="1" hidden="1" customWidth="1"/>
    <col min="282" max="282" width="4.625" style="1" customWidth="1"/>
    <col min="283" max="283" width="4.75" style="1" customWidth="1"/>
    <col min="284" max="284" width="23.875" style="1" customWidth="1"/>
    <col min="285" max="285" width="11" style="1" customWidth="1"/>
    <col min="286" max="286" width="25.25" style="1" customWidth="1"/>
    <col min="287" max="533" width="9.125" style="1"/>
    <col min="534" max="534" width="4.375" style="1" customWidth="1"/>
    <col min="535" max="535" width="27" style="1" customWidth="1"/>
    <col min="536" max="536" width="26" style="1" customWidth="1"/>
    <col min="537" max="537" width="0" style="1" hidden="1" customWidth="1"/>
    <col min="538" max="538" width="4.625" style="1" customWidth="1"/>
    <col min="539" max="539" width="4.75" style="1" customWidth="1"/>
    <col min="540" max="540" width="23.875" style="1" customWidth="1"/>
    <col min="541" max="541" width="11" style="1" customWidth="1"/>
    <col min="542" max="542" width="25.25" style="1" customWidth="1"/>
    <col min="543" max="789" width="9.125" style="1"/>
    <col min="790" max="790" width="4.375" style="1" customWidth="1"/>
    <col min="791" max="791" width="27" style="1" customWidth="1"/>
    <col min="792" max="792" width="26" style="1" customWidth="1"/>
    <col min="793" max="793" width="0" style="1" hidden="1" customWidth="1"/>
    <col min="794" max="794" width="4.625" style="1" customWidth="1"/>
    <col min="795" max="795" width="4.75" style="1" customWidth="1"/>
    <col min="796" max="796" width="23.875" style="1" customWidth="1"/>
    <col min="797" max="797" width="11" style="1" customWidth="1"/>
    <col min="798" max="798" width="25.25" style="1" customWidth="1"/>
    <col min="799" max="1045" width="9.125" style="1"/>
    <col min="1046" max="1046" width="4.375" style="1" customWidth="1"/>
    <col min="1047" max="1047" width="27" style="1" customWidth="1"/>
    <col min="1048" max="1048" width="26" style="1" customWidth="1"/>
    <col min="1049" max="1049" width="0" style="1" hidden="1" customWidth="1"/>
    <col min="1050" max="1050" width="4.625" style="1" customWidth="1"/>
    <col min="1051" max="1051" width="4.75" style="1" customWidth="1"/>
    <col min="1052" max="1052" width="23.875" style="1" customWidth="1"/>
    <col min="1053" max="1053" width="11" style="1" customWidth="1"/>
    <col min="1054" max="1054" width="25.25" style="1" customWidth="1"/>
    <col min="1055" max="1301" width="9.125" style="1"/>
    <col min="1302" max="1302" width="4.375" style="1" customWidth="1"/>
    <col min="1303" max="1303" width="27" style="1" customWidth="1"/>
    <col min="1304" max="1304" width="26" style="1" customWidth="1"/>
    <col min="1305" max="1305" width="0" style="1" hidden="1" customWidth="1"/>
    <col min="1306" max="1306" width="4.625" style="1" customWidth="1"/>
    <col min="1307" max="1307" width="4.75" style="1" customWidth="1"/>
    <col min="1308" max="1308" width="23.875" style="1" customWidth="1"/>
    <col min="1309" max="1309" width="11" style="1" customWidth="1"/>
    <col min="1310" max="1310" width="25.25" style="1" customWidth="1"/>
    <col min="1311" max="1557" width="9.125" style="1"/>
    <col min="1558" max="1558" width="4.375" style="1" customWidth="1"/>
    <col min="1559" max="1559" width="27" style="1" customWidth="1"/>
    <col min="1560" max="1560" width="26" style="1" customWidth="1"/>
    <col min="1561" max="1561" width="0" style="1" hidden="1" customWidth="1"/>
    <col min="1562" max="1562" width="4.625" style="1" customWidth="1"/>
    <col min="1563" max="1563" width="4.75" style="1" customWidth="1"/>
    <col min="1564" max="1564" width="23.875" style="1" customWidth="1"/>
    <col min="1565" max="1565" width="11" style="1" customWidth="1"/>
    <col min="1566" max="1566" width="25.25" style="1" customWidth="1"/>
    <col min="1567" max="1813" width="9.125" style="1"/>
    <col min="1814" max="1814" width="4.375" style="1" customWidth="1"/>
    <col min="1815" max="1815" width="27" style="1" customWidth="1"/>
    <col min="1816" max="1816" width="26" style="1" customWidth="1"/>
    <col min="1817" max="1817" width="0" style="1" hidden="1" customWidth="1"/>
    <col min="1818" max="1818" width="4.625" style="1" customWidth="1"/>
    <col min="1819" max="1819" width="4.75" style="1" customWidth="1"/>
    <col min="1820" max="1820" width="23.875" style="1" customWidth="1"/>
    <col min="1821" max="1821" width="11" style="1" customWidth="1"/>
    <col min="1822" max="1822" width="25.25" style="1" customWidth="1"/>
    <col min="1823" max="2069" width="9.125" style="1"/>
    <col min="2070" max="2070" width="4.375" style="1" customWidth="1"/>
    <col min="2071" max="2071" width="27" style="1" customWidth="1"/>
    <col min="2072" max="2072" width="26" style="1" customWidth="1"/>
    <col min="2073" max="2073" width="0" style="1" hidden="1" customWidth="1"/>
    <col min="2074" max="2074" width="4.625" style="1" customWidth="1"/>
    <col min="2075" max="2075" width="4.75" style="1" customWidth="1"/>
    <col min="2076" max="2076" width="23.875" style="1" customWidth="1"/>
    <col min="2077" max="2077" width="11" style="1" customWidth="1"/>
    <col min="2078" max="2078" width="25.25" style="1" customWidth="1"/>
    <col min="2079" max="2325" width="9.125" style="1"/>
    <col min="2326" max="2326" width="4.375" style="1" customWidth="1"/>
    <col min="2327" max="2327" width="27" style="1" customWidth="1"/>
    <col min="2328" max="2328" width="26" style="1" customWidth="1"/>
    <col min="2329" max="2329" width="0" style="1" hidden="1" customWidth="1"/>
    <col min="2330" max="2330" width="4.625" style="1" customWidth="1"/>
    <col min="2331" max="2331" width="4.75" style="1" customWidth="1"/>
    <col min="2332" max="2332" width="23.875" style="1" customWidth="1"/>
    <col min="2333" max="2333" width="11" style="1" customWidth="1"/>
    <col min="2334" max="2334" width="25.25" style="1" customWidth="1"/>
    <col min="2335" max="2581" width="9.125" style="1"/>
    <col min="2582" max="2582" width="4.375" style="1" customWidth="1"/>
    <col min="2583" max="2583" width="27" style="1" customWidth="1"/>
    <col min="2584" max="2584" width="26" style="1" customWidth="1"/>
    <col min="2585" max="2585" width="0" style="1" hidden="1" customWidth="1"/>
    <col min="2586" max="2586" width="4.625" style="1" customWidth="1"/>
    <col min="2587" max="2587" width="4.75" style="1" customWidth="1"/>
    <col min="2588" max="2588" width="23.875" style="1" customWidth="1"/>
    <col min="2589" max="2589" width="11" style="1" customWidth="1"/>
    <col min="2590" max="2590" width="25.25" style="1" customWidth="1"/>
    <col min="2591" max="2837" width="9.125" style="1"/>
    <col min="2838" max="2838" width="4.375" style="1" customWidth="1"/>
    <col min="2839" max="2839" width="27" style="1" customWidth="1"/>
    <col min="2840" max="2840" width="26" style="1" customWidth="1"/>
    <col min="2841" max="2841" width="0" style="1" hidden="1" customWidth="1"/>
    <col min="2842" max="2842" width="4.625" style="1" customWidth="1"/>
    <col min="2843" max="2843" width="4.75" style="1" customWidth="1"/>
    <col min="2844" max="2844" width="23.875" style="1" customWidth="1"/>
    <col min="2845" max="2845" width="11" style="1" customWidth="1"/>
    <col min="2846" max="2846" width="25.25" style="1" customWidth="1"/>
    <col min="2847" max="3093" width="9.125" style="1"/>
    <col min="3094" max="3094" width="4.375" style="1" customWidth="1"/>
    <col min="3095" max="3095" width="27" style="1" customWidth="1"/>
    <col min="3096" max="3096" width="26" style="1" customWidth="1"/>
    <col min="3097" max="3097" width="0" style="1" hidden="1" customWidth="1"/>
    <col min="3098" max="3098" width="4.625" style="1" customWidth="1"/>
    <col min="3099" max="3099" width="4.75" style="1" customWidth="1"/>
    <col min="3100" max="3100" width="23.875" style="1" customWidth="1"/>
    <col min="3101" max="3101" width="11" style="1" customWidth="1"/>
    <col min="3102" max="3102" width="25.25" style="1" customWidth="1"/>
    <col min="3103" max="3349" width="9.125" style="1"/>
    <col min="3350" max="3350" width="4.375" style="1" customWidth="1"/>
    <col min="3351" max="3351" width="27" style="1" customWidth="1"/>
    <col min="3352" max="3352" width="26" style="1" customWidth="1"/>
    <col min="3353" max="3353" width="0" style="1" hidden="1" customWidth="1"/>
    <col min="3354" max="3354" width="4.625" style="1" customWidth="1"/>
    <col min="3355" max="3355" width="4.75" style="1" customWidth="1"/>
    <col min="3356" max="3356" width="23.875" style="1" customWidth="1"/>
    <col min="3357" max="3357" width="11" style="1" customWidth="1"/>
    <col min="3358" max="3358" width="25.25" style="1" customWidth="1"/>
    <col min="3359" max="3605" width="9.125" style="1"/>
    <col min="3606" max="3606" width="4.375" style="1" customWidth="1"/>
    <col min="3607" max="3607" width="27" style="1" customWidth="1"/>
    <col min="3608" max="3608" width="26" style="1" customWidth="1"/>
    <col min="3609" max="3609" width="0" style="1" hidden="1" customWidth="1"/>
    <col min="3610" max="3610" width="4.625" style="1" customWidth="1"/>
    <col min="3611" max="3611" width="4.75" style="1" customWidth="1"/>
    <col min="3612" max="3612" width="23.875" style="1" customWidth="1"/>
    <col min="3613" max="3613" width="11" style="1" customWidth="1"/>
    <col min="3614" max="3614" width="25.25" style="1" customWidth="1"/>
    <col min="3615" max="3861" width="9.125" style="1"/>
    <col min="3862" max="3862" width="4.375" style="1" customWidth="1"/>
    <col min="3863" max="3863" width="27" style="1" customWidth="1"/>
    <col min="3864" max="3864" width="26" style="1" customWidth="1"/>
    <col min="3865" max="3865" width="0" style="1" hidden="1" customWidth="1"/>
    <col min="3866" max="3866" width="4.625" style="1" customWidth="1"/>
    <col min="3867" max="3867" width="4.75" style="1" customWidth="1"/>
    <col min="3868" max="3868" width="23.875" style="1" customWidth="1"/>
    <col min="3869" max="3869" width="11" style="1" customWidth="1"/>
    <col min="3870" max="3870" width="25.25" style="1" customWidth="1"/>
    <col min="3871" max="4117" width="9.125" style="1"/>
    <col min="4118" max="4118" width="4.375" style="1" customWidth="1"/>
    <col min="4119" max="4119" width="27" style="1" customWidth="1"/>
    <col min="4120" max="4120" width="26" style="1" customWidth="1"/>
    <col min="4121" max="4121" width="0" style="1" hidden="1" customWidth="1"/>
    <col min="4122" max="4122" width="4.625" style="1" customWidth="1"/>
    <col min="4123" max="4123" width="4.75" style="1" customWidth="1"/>
    <col min="4124" max="4124" width="23.875" style="1" customWidth="1"/>
    <col min="4125" max="4125" width="11" style="1" customWidth="1"/>
    <col min="4126" max="4126" width="25.25" style="1" customWidth="1"/>
    <col min="4127" max="4373" width="9.125" style="1"/>
    <col min="4374" max="4374" width="4.375" style="1" customWidth="1"/>
    <col min="4375" max="4375" width="27" style="1" customWidth="1"/>
    <col min="4376" max="4376" width="26" style="1" customWidth="1"/>
    <col min="4377" max="4377" width="0" style="1" hidden="1" customWidth="1"/>
    <col min="4378" max="4378" width="4.625" style="1" customWidth="1"/>
    <col min="4379" max="4379" width="4.75" style="1" customWidth="1"/>
    <col min="4380" max="4380" width="23.875" style="1" customWidth="1"/>
    <col min="4381" max="4381" width="11" style="1" customWidth="1"/>
    <col min="4382" max="4382" width="25.25" style="1" customWidth="1"/>
    <col min="4383" max="4629" width="9.125" style="1"/>
    <col min="4630" max="4630" width="4.375" style="1" customWidth="1"/>
    <col min="4631" max="4631" width="27" style="1" customWidth="1"/>
    <col min="4632" max="4632" width="26" style="1" customWidth="1"/>
    <col min="4633" max="4633" width="0" style="1" hidden="1" customWidth="1"/>
    <col min="4634" max="4634" width="4.625" style="1" customWidth="1"/>
    <col min="4635" max="4635" width="4.75" style="1" customWidth="1"/>
    <col min="4636" max="4636" width="23.875" style="1" customWidth="1"/>
    <col min="4637" max="4637" width="11" style="1" customWidth="1"/>
    <col min="4638" max="4638" width="25.25" style="1" customWidth="1"/>
    <col min="4639" max="4885" width="9.125" style="1"/>
    <col min="4886" max="4886" width="4.375" style="1" customWidth="1"/>
    <col min="4887" max="4887" width="27" style="1" customWidth="1"/>
    <col min="4888" max="4888" width="26" style="1" customWidth="1"/>
    <col min="4889" max="4889" width="0" style="1" hidden="1" customWidth="1"/>
    <col min="4890" max="4890" width="4.625" style="1" customWidth="1"/>
    <col min="4891" max="4891" width="4.75" style="1" customWidth="1"/>
    <col min="4892" max="4892" width="23.875" style="1" customWidth="1"/>
    <col min="4893" max="4893" width="11" style="1" customWidth="1"/>
    <col min="4894" max="4894" width="25.25" style="1" customWidth="1"/>
    <col min="4895" max="5141" width="9.125" style="1"/>
    <col min="5142" max="5142" width="4.375" style="1" customWidth="1"/>
    <col min="5143" max="5143" width="27" style="1" customWidth="1"/>
    <col min="5144" max="5144" width="26" style="1" customWidth="1"/>
    <col min="5145" max="5145" width="0" style="1" hidden="1" customWidth="1"/>
    <col min="5146" max="5146" width="4.625" style="1" customWidth="1"/>
    <col min="5147" max="5147" width="4.75" style="1" customWidth="1"/>
    <col min="5148" max="5148" width="23.875" style="1" customWidth="1"/>
    <col min="5149" max="5149" width="11" style="1" customWidth="1"/>
    <col min="5150" max="5150" width="25.25" style="1" customWidth="1"/>
    <col min="5151" max="5397" width="9.125" style="1"/>
    <col min="5398" max="5398" width="4.375" style="1" customWidth="1"/>
    <col min="5399" max="5399" width="27" style="1" customWidth="1"/>
    <col min="5400" max="5400" width="26" style="1" customWidth="1"/>
    <col min="5401" max="5401" width="0" style="1" hidden="1" customWidth="1"/>
    <col min="5402" max="5402" width="4.625" style="1" customWidth="1"/>
    <col min="5403" max="5403" width="4.75" style="1" customWidth="1"/>
    <col min="5404" max="5404" width="23.875" style="1" customWidth="1"/>
    <col min="5405" max="5405" width="11" style="1" customWidth="1"/>
    <col min="5406" max="5406" width="25.25" style="1" customWidth="1"/>
    <col min="5407" max="5653" width="9.125" style="1"/>
    <col min="5654" max="5654" width="4.375" style="1" customWidth="1"/>
    <col min="5655" max="5655" width="27" style="1" customWidth="1"/>
    <col min="5656" max="5656" width="26" style="1" customWidth="1"/>
    <col min="5657" max="5657" width="0" style="1" hidden="1" customWidth="1"/>
    <col min="5658" max="5658" width="4.625" style="1" customWidth="1"/>
    <col min="5659" max="5659" width="4.75" style="1" customWidth="1"/>
    <col min="5660" max="5660" width="23.875" style="1" customWidth="1"/>
    <col min="5661" max="5661" width="11" style="1" customWidth="1"/>
    <col min="5662" max="5662" width="25.25" style="1" customWidth="1"/>
    <col min="5663" max="5909" width="9.125" style="1"/>
    <col min="5910" max="5910" width="4.375" style="1" customWidth="1"/>
    <col min="5911" max="5911" width="27" style="1" customWidth="1"/>
    <col min="5912" max="5912" width="26" style="1" customWidth="1"/>
    <col min="5913" max="5913" width="0" style="1" hidden="1" customWidth="1"/>
    <col min="5914" max="5914" width="4.625" style="1" customWidth="1"/>
    <col min="5915" max="5915" width="4.75" style="1" customWidth="1"/>
    <col min="5916" max="5916" width="23.875" style="1" customWidth="1"/>
    <col min="5917" max="5917" width="11" style="1" customWidth="1"/>
    <col min="5918" max="5918" width="25.25" style="1" customWidth="1"/>
    <col min="5919" max="6165" width="9.125" style="1"/>
    <col min="6166" max="6166" width="4.375" style="1" customWidth="1"/>
    <col min="6167" max="6167" width="27" style="1" customWidth="1"/>
    <col min="6168" max="6168" width="26" style="1" customWidth="1"/>
    <col min="6169" max="6169" width="0" style="1" hidden="1" customWidth="1"/>
    <col min="6170" max="6170" width="4.625" style="1" customWidth="1"/>
    <col min="6171" max="6171" width="4.75" style="1" customWidth="1"/>
    <col min="6172" max="6172" width="23.875" style="1" customWidth="1"/>
    <col min="6173" max="6173" width="11" style="1" customWidth="1"/>
    <col min="6174" max="6174" width="25.25" style="1" customWidth="1"/>
    <col min="6175" max="6421" width="9.125" style="1"/>
    <col min="6422" max="6422" width="4.375" style="1" customWidth="1"/>
    <col min="6423" max="6423" width="27" style="1" customWidth="1"/>
    <col min="6424" max="6424" width="26" style="1" customWidth="1"/>
    <col min="6425" max="6425" width="0" style="1" hidden="1" customWidth="1"/>
    <col min="6426" max="6426" width="4.625" style="1" customWidth="1"/>
    <col min="6427" max="6427" width="4.75" style="1" customWidth="1"/>
    <col min="6428" max="6428" width="23.875" style="1" customWidth="1"/>
    <col min="6429" max="6429" width="11" style="1" customWidth="1"/>
    <col min="6430" max="6430" width="25.25" style="1" customWidth="1"/>
    <col min="6431" max="6677" width="9.125" style="1"/>
    <col min="6678" max="6678" width="4.375" style="1" customWidth="1"/>
    <col min="6679" max="6679" width="27" style="1" customWidth="1"/>
    <col min="6680" max="6680" width="26" style="1" customWidth="1"/>
    <col min="6681" max="6681" width="0" style="1" hidden="1" customWidth="1"/>
    <col min="6682" max="6682" width="4.625" style="1" customWidth="1"/>
    <col min="6683" max="6683" width="4.75" style="1" customWidth="1"/>
    <col min="6684" max="6684" width="23.875" style="1" customWidth="1"/>
    <col min="6685" max="6685" width="11" style="1" customWidth="1"/>
    <col min="6686" max="6686" width="25.25" style="1" customWidth="1"/>
    <col min="6687" max="6933" width="9.125" style="1"/>
    <col min="6934" max="6934" width="4.375" style="1" customWidth="1"/>
    <col min="6935" max="6935" width="27" style="1" customWidth="1"/>
    <col min="6936" max="6936" width="26" style="1" customWidth="1"/>
    <col min="6937" max="6937" width="0" style="1" hidden="1" customWidth="1"/>
    <col min="6938" max="6938" width="4.625" style="1" customWidth="1"/>
    <col min="6939" max="6939" width="4.75" style="1" customWidth="1"/>
    <col min="6940" max="6940" width="23.875" style="1" customWidth="1"/>
    <col min="6941" max="6941" width="11" style="1" customWidth="1"/>
    <col min="6942" max="6942" width="25.25" style="1" customWidth="1"/>
    <col min="6943" max="7189" width="9.125" style="1"/>
    <col min="7190" max="7190" width="4.375" style="1" customWidth="1"/>
    <col min="7191" max="7191" width="27" style="1" customWidth="1"/>
    <col min="7192" max="7192" width="26" style="1" customWidth="1"/>
    <col min="7193" max="7193" width="0" style="1" hidden="1" customWidth="1"/>
    <col min="7194" max="7194" width="4.625" style="1" customWidth="1"/>
    <col min="7195" max="7195" width="4.75" style="1" customWidth="1"/>
    <col min="7196" max="7196" width="23.875" style="1" customWidth="1"/>
    <col min="7197" max="7197" width="11" style="1" customWidth="1"/>
    <col min="7198" max="7198" width="25.25" style="1" customWidth="1"/>
    <col min="7199" max="7445" width="9.125" style="1"/>
    <col min="7446" max="7446" width="4.375" style="1" customWidth="1"/>
    <col min="7447" max="7447" width="27" style="1" customWidth="1"/>
    <col min="7448" max="7448" width="26" style="1" customWidth="1"/>
    <col min="7449" max="7449" width="0" style="1" hidden="1" customWidth="1"/>
    <col min="7450" max="7450" width="4.625" style="1" customWidth="1"/>
    <col min="7451" max="7451" width="4.75" style="1" customWidth="1"/>
    <col min="7452" max="7452" width="23.875" style="1" customWidth="1"/>
    <col min="7453" max="7453" width="11" style="1" customWidth="1"/>
    <col min="7454" max="7454" width="25.25" style="1" customWidth="1"/>
    <col min="7455" max="7701" width="9.125" style="1"/>
    <col min="7702" max="7702" width="4.375" style="1" customWidth="1"/>
    <col min="7703" max="7703" width="27" style="1" customWidth="1"/>
    <col min="7704" max="7704" width="26" style="1" customWidth="1"/>
    <col min="7705" max="7705" width="0" style="1" hidden="1" customWidth="1"/>
    <col min="7706" max="7706" width="4.625" style="1" customWidth="1"/>
    <col min="7707" max="7707" width="4.75" style="1" customWidth="1"/>
    <col min="7708" max="7708" width="23.875" style="1" customWidth="1"/>
    <col min="7709" max="7709" width="11" style="1" customWidth="1"/>
    <col min="7710" max="7710" width="25.25" style="1" customWidth="1"/>
    <col min="7711" max="7957" width="9.125" style="1"/>
    <col min="7958" max="7958" width="4.375" style="1" customWidth="1"/>
    <col min="7959" max="7959" width="27" style="1" customWidth="1"/>
    <col min="7960" max="7960" width="26" style="1" customWidth="1"/>
    <col min="7961" max="7961" width="0" style="1" hidden="1" customWidth="1"/>
    <col min="7962" max="7962" width="4.625" style="1" customWidth="1"/>
    <col min="7963" max="7963" width="4.75" style="1" customWidth="1"/>
    <col min="7964" max="7964" width="23.875" style="1" customWidth="1"/>
    <col min="7965" max="7965" width="11" style="1" customWidth="1"/>
    <col min="7966" max="7966" width="25.25" style="1" customWidth="1"/>
    <col min="7967" max="8213" width="9.125" style="1"/>
    <col min="8214" max="8214" width="4.375" style="1" customWidth="1"/>
    <col min="8215" max="8215" width="27" style="1" customWidth="1"/>
    <col min="8216" max="8216" width="26" style="1" customWidth="1"/>
    <col min="8217" max="8217" width="0" style="1" hidden="1" customWidth="1"/>
    <col min="8218" max="8218" width="4.625" style="1" customWidth="1"/>
    <col min="8219" max="8219" width="4.75" style="1" customWidth="1"/>
    <col min="8220" max="8220" width="23.875" style="1" customWidth="1"/>
    <col min="8221" max="8221" width="11" style="1" customWidth="1"/>
    <col min="8222" max="8222" width="25.25" style="1" customWidth="1"/>
    <col min="8223" max="8469" width="9.125" style="1"/>
    <col min="8470" max="8470" width="4.375" style="1" customWidth="1"/>
    <col min="8471" max="8471" width="27" style="1" customWidth="1"/>
    <col min="8472" max="8472" width="26" style="1" customWidth="1"/>
    <col min="8473" max="8473" width="0" style="1" hidden="1" customWidth="1"/>
    <col min="8474" max="8474" width="4.625" style="1" customWidth="1"/>
    <col min="8475" max="8475" width="4.75" style="1" customWidth="1"/>
    <col min="8476" max="8476" width="23.875" style="1" customWidth="1"/>
    <col min="8477" max="8477" width="11" style="1" customWidth="1"/>
    <col min="8478" max="8478" width="25.25" style="1" customWidth="1"/>
    <col min="8479" max="8725" width="9.125" style="1"/>
    <col min="8726" max="8726" width="4.375" style="1" customWidth="1"/>
    <col min="8727" max="8727" width="27" style="1" customWidth="1"/>
    <col min="8728" max="8728" width="26" style="1" customWidth="1"/>
    <col min="8729" max="8729" width="0" style="1" hidden="1" customWidth="1"/>
    <col min="8730" max="8730" width="4.625" style="1" customWidth="1"/>
    <col min="8731" max="8731" width="4.75" style="1" customWidth="1"/>
    <col min="8732" max="8732" width="23.875" style="1" customWidth="1"/>
    <col min="8733" max="8733" width="11" style="1" customWidth="1"/>
    <col min="8734" max="8734" width="25.25" style="1" customWidth="1"/>
    <col min="8735" max="8981" width="9.125" style="1"/>
    <col min="8982" max="8982" width="4.375" style="1" customWidth="1"/>
    <col min="8983" max="8983" width="27" style="1" customWidth="1"/>
    <col min="8984" max="8984" width="26" style="1" customWidth="1"/>
    <col min="8985" max="8985" width="0" style="1" hidden="1" customWidth="1"/>
    <col min="8986" max="8986" width="4.625" style="1" customWidth="1"/>
    <col min="8987" max="8987" width="4.75" style="1" customWidth="1"/>
    <col min="8988" max="8988" width="23.875" style="1" customWidth="1"/>
    <col min="8989" max="8989" width="11" style="1" customWidth="1"/>
    <col min="8990" max="8990" width="25.25" style="1" customWidth="1"/>
    <col min="8991" max="9237" width="9.125" style="1"/>
    <col min="9238" max="9238" width="4.375" style="1" customWidth="1"/>
    <col min="9239" max="9239" width="27" style="1" customWidth="1"/>
    <col min="9240" max="9240" width="26" style="1" customWidth="1"/>
    <col min="9241" max="9241" width="0" style="1" hidden="1" customWidth="1"/>
    <col min="9242" max="9242" width="4.625" style="1" customWidth="1"/>
    <col min="9243" max="9243" width="4.75" style="1" customWidth="1"/>
    <col min="9244" max="9244" width="23.875" style="1" customWidth="1"/>
    <col min="9245" max="9245" width="11" style="1" customWidth="1"/>
    <col min="9246" max="9246" width="25.25" style="1" customWidth="1"/>
    <col min="9247" max="9493" width="9.125" style="1"/>
    <col min="9494" max="9494" width="4.375" style="1" customWidth="1"/>
    <col min="9495" max="9495" width="27" style="1" customWidth="1"/>
    <col min="9496" max="9496" width="26" style="1" customWidth="1"/>
    <col min="9497" max="9497" width="0" style="1" hidden="1" customWidth="1"/>
    <col min="9498" max="9498" width="4.625" style="1" customWidth="1"/>
    <col min="9499" max="9499" width="4.75" style="1" customWidth="1"/>
    <col min="9500" max="9500" width="23.875" style="1" customWidth="1"/>
    <col min="9501" max="9501" width="11" style="1" customWidth="1"/>
    <col min="9502" max="9502" width="25.25" style="1" customWidth="1"/>
    <col min="9503" max="9749" width="9.125" style="1"/>
    <col min="9750" max="9750" width="4.375" style="1" customWidth="1"/>
    <col min="9751" max="9751" width="27" style="1" customWidth="1"/>
    <col min="9752" max="9752" width="26" style="1" customWidth="1"/>
    <col min="9753" max="9753" width="0" style="1" hidden="1" customWidth="1"/>
    <col min="9754" max="9754" width="4.625" style="1" customWidth="1"/>
    <col min="9755" max="9755" width="4.75" style="1" customWidth="1"/>
    <col min="9756" max="9756" width="23.875" style="1" customWidth="1"/>
    <col min="9757" max="9757" width="11" style="1" customWidth="1"/>
    <col min="9758" max="9758" width="25.25" style="1" customWidth="1"/>
    <col min="9759" max="10005" width="9.125" style="1"/>
    <col min="10006" max="10006" width="4.375" style="1" customWidth="1"/>
    <col min="10007" max="10007" width="27" style="1" customWidth="1"/>
    <col min="10008" max="10008" width="26" style="1" customWidth="1"/>
    <col min="10009" max="10009" width="0" style="1" hidden="1" customWidth="1"/>
    <col min="10010" max="10010" width="4.625" style="1" customWidth="1"/>
    <col min="10011" max="10011" width="4.75" style="1" customWidth="1"/>
    <col min="10012" max="10012" width="23.875" style="1" customWidth="1"/>
    <col min="10013" max="10013" width="11" style="1" customWidth="1"/>
    <col min="10014" max="10014" width="25.25" style="1" customWidth="1"/>
    <col min="10015" max="10261" width="9.125" style="1"/>
    <col min="10262" max="10262" width="4.375" style="1" customWidth="1"/>
    <col min="10263" max="10263" width="27" style="1" customWidth="1"/>
    <col min="10264" max="10264" width="26" style="1" customWidth="1"/>
    <col min="10265" max="10265" width="0" style="1" hidden="1" customWidth="1"/>
    <col min="10266" max="10266" width="4.625" style="1" customWidth="1"/>
    <col min="10267" max="10267" width="4.75" style="1" customWidth="1"/>
    <col min="10268" max="10268" width="23.875" style="1" customWidth="1"/>
    <col min="10269" max="10269" width="11" style="1" customWidth="1"/>
    <col min="10270" max="10270" width="25.25" style="1" customWidth="1"/>
    <col min="10271" max="10517" width="9.125" style="1"/>
    <col min="10518" max="10518" width="4.375" style="1" customWidth="1"/>
    <col min="10519" max="10519" width="27" style="1" customWidth="1"/>
    <col min="10520" max="10520" width="26" style="1" customWidth="1"/>
    <col min="10521" max="10521" width="0" style="1" hidden="1" customWidth="1"/>
    <col min="10522" max="10522" width="4.625" style="1" customWidth="1"/>
    <col min="10523" max="10523" width="4.75" style="1" customWidth="1"/>
    <col min="10524" max="10524" width="23.875" style="1" customWidth="1"/>
    <col min="10525" max="10525" width="11" style="1" customWidth="1"/>
    <col min="10526" max="10526" width="25.25" style="1" customWidth="1"/>
    <col min="10527" max="10773" width="9.125" style="1"/>
    <col min="10774" max="10774" width="4.375" style="1" customWidth="1"/>
    <col min="10775" max="10775" width="27" style="1" customWidth="1"/>
    <col min="10776" max="10776" width="26" style="1" customWidth="1"/>
    <col min="10777" max="10777" width="0" style="1" hidden="1" customWidth="1"/>
    <col min="10778" max="10778" width="4.625" style="1" customWidth="1"/>
    <col min="10779" max="10779" width="4.75" style="1" customWidth="1"/>
    <col min="10780" max="10780" width="23.875" style="1" customWidth="1"/>
    <col min="10781" max="10781" width="11" style="1" customWidth="1"/>
    <col min="10782" max="10782" width="25.25" style="1" customWidth="1"/>
    <col min="10783" max="11029" width="9.125" style="1"/>
    <col min="11030" max="11030" width="4.375" style="1" customWidth="1"/>
    <col min="11031" max="11031" width="27" style="1" customWidth="1"/>
    <col min="11032" max="11032" width="26" style="1" customWidth="1"/>
    <col min="11033" max="11033" width="0" style="1" hidden="1" customWidth="1"/>
    <col min="11034" max="11034" width="4.625" style="1" customWidth="1"/>
    <col min="11035" max="11035" width="4.75" style="1" customWidth="1"/>
    <col min="11036" max="11036" width="23.875" style="1" customWidth="1"/>
    <col min="11037" max="11037" width="11" style="1" customWidth="1"/>
    <col min="11038" max="11038" width="25.25" style="1" customWidth="1"/>
    <col min="11039" max="11285" width="9.125" style="1"/>
    <col min="11286" max="11286" width="4.375" style="1" customWidth="1"/>
    <col min="11287" max="11287" width="27" style="1" customWidth="1"/>
    <col min="11288" max="11288" width="26" style="1" customWidth="1"/>
    <col min="11289" max="11289" width="0" style="1" hidden="1" customWidth="1"/>
    <col min="11290" max="11290" width="4.625" style="1" customWidth="1"/>
    <col min="11291" max="11291" width="4.75" style="1" customWidth="1"/>
    <col min="11292" max="11292" width="23.875" style="1" customWidth="1"/>
    <col min="11293" max="11293" width="11" style="1" customWidth="1"/>
    <col min="11294" max="11294" width="25.25" style="1" customWidth="1"/>
    <col min="11295" max="11541" width="9.125" style="1"/>
    <col min="11542" max="11542" width="4.375" style="1" customWidth="1"/>
    <col min="11543" max="11543" width="27" style="1" customWidth="1"/>
    <col min="11544" max="11544" width="26" style="1" customWidth="1"/>
    <col min="11545" max="11545" width="0" style="1" hidden="1" customWidth="1"/>
    <col min="11546" max="11546" width="4.625" style="1" customWidth="1"/>
    <col min="11547" max="11547" width="4.75" style="1" customWidth="1"/>
    <col min="11548" max="11548" width="23.875" style="1" customWidth="1"/>
    <col min="11549" max="11549" width="11" style="1" customWidth="1"/>
    <col min="11550" max="11550" width="25.25" style="1" customWidth="1"/>
    <col min="11551" max="11797" width="9.125" style="1"/>
    <col min="11798" max="11798" width="4.375" style="1" customWidth="1"/>
    <col min="11799" max="11799" width="27" style="1" customWidth="1"/>
    <col min="11800" max="11800" width="26" style="1" customWidth="1"/>
    <col min="11801" max="11801" width="0" style="1" hidden="1" customWidth="1"/>
    <col min="11802" max="11802" width="4.625" style="1" customWidth="1"/>
    <col min="11803" max="11803" width="4.75" style="1" customWidth="1"/>
    <col min="11804" max="11804" width="23.875" style="1" customWidth="1"/>
    <col min="11805" max="11805" width="11" style="1" customWidth="1"/>
    <col min="11806" max="11806" width="25.25" style="1" customWidth="1"/>
    <col min="11807" max="12053" width="9.125" style="1"/>
    <col min="12054" max="12054" width="4.375" style="1" customWidth="1"/>
    <col min="12055" max="12055" width="27" style="1" customWidth="1"/>
    <col min="12056" max="12056" width="26" style="1" customWidth="1"/>
    <col min="12057" max="12057" width="0" style="1" hidden="1" customWidth="1"/>
    <col min="12058" max="12058" width="4.625" style="1" customWidth="1"/>
    <col min="12059" max="12059" width="4.75" style="1" customWidth="1"/>
    <col min="12060" max="12060" width="23.875" style="1" customWidth="1"/>
    <col min="12061" max="12061" width="11" style="1" customWidth="1"/>
    <col min="12062" max="12062" width="25.25" style="1" customWidth="1"/>
    <col min="12063" max="12309" width="9.125" style="1"/>
    <col min="12310" max="12310" width="4.375" style="1" customWidth="1"/>
    <col min="12311" max="12311" width="27" style="1" customWidth="1"/>
    <col min="12312" max="12312" width="26" style="1" customWidth="1"/>
    <col min="12313" max="12313" width="0" style="1" hidden="1" customWidth="1"/>
    <col min="12314" max="12314" width="4.625" style="1" customWidth="1"/>
    <col min="12315" max="12315" width="4.75" style="1" customWidth="1"/>
    <col min="12316" max="12316" width="23.875" style="1" customWidth="1"/>
    <col min="12317" max="12317" width="11" style="1" customWidth="1"/>
    <col min="12318" max="12318" width="25.25" style="1" customWidth="1"/>
    <col min="12319" max="12565" width="9.125" style="1"/>
    <col min="12566" max="12566" width="4.375" style="1" customWidth="1"/>
    <col min="12567" max="12567" width="27" style="1" customWidth="1"/>
    <col min="12568" max="12568" width="26" style="1" customWidth="1"/>
    <col min="12569" max="12569" width="0" style="1" hidden="1" customWidth="1"/>
    <col min="12570" max="12570" width="4.625" style="1" customWidth="1"/>
    <col min="12571" max="12571" width="4.75" style="1" customWidth="1"/>
    <col min="12572" max="12572" width="23.875" style="1" customWidth="1"/>
    <col min="12573" max="12573" width="11" style="1" customWidth="1"/>
    <col min="12574" max="12574" width="25.25" style="1" customWidth="1"/>
    <col min="12575" max="12821" width="9.125" style="1"/>
    <col min="12822" max="12822" width="4.375" style="1" customWidth="1"/>
    <col min="12823" max="12823" width="27" style="1" customWidth="1"/>
    <col min="12824" max="12824" width="26" style="1" customWidth="1"/>
    <col min="12825" max="12825" width="0" style="1" hidden="1" customWidth="1"/>
    <col min="12826" max="12826" width="4.625" style="1" customWidth="1"/>
    <col min="12827" max="12827" width="4.75" style="1" customWidth="1"/>
    <col min="12828" max="12828" width="23.875" style="1" customWidth="1"/>
    <col min="12829" max="12829" width="11" style="1" customWidth="1"/>
    <col min="12830" max="12830" width="25.25" style="1" customWidth="1"/>
    <col min="12831" max="13077" width="9.125" style="1"/>
    <col min="13078" max="13078" width="4.375" style="1" customWidth="1"/>
    <col min="13079" max="13079" width="27" style="1" customWidth="1"/>
    <col min="13080" max="13080" width="26" style="1" customWidth="1"/>
    <col min="13081" max="13081" width="0" style="1" hidden="1" customWidth="1"/>
    <col min="13082" max="13082" width="4.625" style="1" customWidth="1"/>
    <col min="13083" max="13083" width="4.75" style="1" customWidth="1"/>
    <col min="13084" max="13084" width="23.875" style="1" customWidth="1"/>
    <col min="13085" max="13085" width="11" style="1" customWidth="1"/>
    <col min="13086" max="13086" width="25.25" style="1" customWidth="1"/>
    <col min="13087" max="13333" width="9.125" style="1"/>
    <col min="13334" max="13334" width="4.375" style="1" customWidth="1"/>
    <col min="13335" max="13335" width="27" style="1" customWidth="1"/>
    <col min="13336" max="13336" width="26" style="1" customWidth="1"/>
    <col min="13337" max="13337" width="0" style="1" hidden="1" customWidth="1"/>
    <col min="13338" max="13338" width="4.625" style="1" customWidth="1"/>
    <col min="13339" max="13339" width="4.75" style="1" customWidth="1"/>
    <col min="13340" max="13340" width="23.875" style="1" customWidth="1"/>
    <col min="13341" max="13341" width="11" style="1" customWidth="1"/>
    <col min="13342" max="13342" width="25.25" style="1" customWidth="1"/>
    <col min="13343" max="13589" width="9.125" style="1"/>
    <col min="13590" max="13590" width="4.375" style="1" customWidth="1"/>
    <col min="13591" max="13591" width="27" style="1" customWidth="1"/>
    <col min="13592" max="13592" width="26" style="1" customWidth="1"/>
    <col min="13593" max="13593" width="0" style="1" hidden="1" customWidth="1"/>
    <col min="13594" max="13594" width="4.625" style="1" customWidth="1"/>
    <col min="13595" max="13595" width="4.75" style="1" customWidth="1"/>
    <col min="13596" max="13596" width="23.875" style="1" customWidth="1"/>
    <col min="13597" max="13597" width="11" style="1" customWidth="1"/>
    <col min="13598" max="13598" width="25.25" style="1" customWidth="1"/>
    <col min="13599" max="13845" width="9.125" style="1"/>
    <col min="13846" max="13846" width="4.375" style="1" customWidth="1"/>
    <col min="13847" max="13847" width="27" style="1" customWidth="1"/>
    <col min="13848" max="13848" width="26" style="1" customWidth="1"/>
    <col min="13849" max="13849" width="0" style="1" hidden="1" customWidth="1"/>
    <col min="13850" max="13850" width="4.625" style="1" customWidth="1"/>
    <col min="13851" max="13851" width="4.75" style="1" customWidth="1"/>
    <col min="13852" max="13852" width="23.875" style="1" customWidth="1"/>
    <col min="13853" max="13853" width="11" style="1" customWidth="1"/>
    <col min="13854" max="13854" width="25.25" style="1" customWidth="1"/>
    <col min="13855" max="14101" width="9.125" style="1"/>
    <col min="14102" max="14102" width="4.375" style="1" customWidth="1"/>
    <col min="14103" max="14103" width="27" style="1" customWidth="1"/>
    <col min="14104" max="14104" width="26" style="1" customWidth="1"/>
    <col min="14105" max="14105" width="0" style="1" hidden="1" customWidth="1"/>
    <col min="14106" max="14106" width="4.625" style="1" customWidth="1"/>
    <col min="14107" max="14107" width="4.75" style="1" customWidth="1"/>
    <col min="14108" max="14108" width="23.875" style="1" customWidth="1"/>
    <col min="14109" max="14109" width="11" style="1" customWidth="1"/>
    <col min="14110" max="14110" width="25.25" style="1" customWidth="1"/>
    <col min="14111" max="14357" width="9.125" style="1"/>
    <col min="14358" max="14358" width="4.375" style="1" customWidth="1"/>
    <col min="14359" max="14359" width="27" style="1" customWidth="1"/>
    <col min="14360" max="14360" width="26" style="1" customWidth="1"/>
    <col min="14361" max="14361" width="0" style="1" hidden="1" customWidth="1"/>
    <col min="14362" max="14362" width="4.625" style="1" customWidth="1"/>
    <col min="14363" max="14363" width="4.75" style="1" customWidth="1"/>
    <col min="14364" max="14364" width="23.875" style="1" customWidth="1"/>
    <col min="14365" max="14365" width="11" style="1" customWidth="1"/>
    <col min="14366" max="14366" width="25.25" style="1" customWidth="1"/>
    <col min="14367" max="14613" width="9.125" style="1"/>
    <col min="14614" max="14614" width="4.375" style="1" customWidth="1"/>
    <col min="14615" max="14615" width="27" style="1" customWidth="1"/>
    <col min="14616" max="14616" width="26" style="1" customWidth="1"/>
    <col min="14617" max="14617" width="0" style="1" hidden="1" customWidth="1"/>
    <col min="14618" max="14618" width="4.625" style="1" customWidth="1"/>
    <col min="14619" max="14619" width="4.75" style="1" customWidth="1"/>
    <col min="14620" max="14620" width="23.875" style="1" customWidth="1"/>
    <col min="14621" max="14621" width="11" style="1" customWidth="1"/>
    <col min="14622" max="14622" width="25.25" style="1" customWidth="1"/>
    <col min="14623" max="14869" width="9.125" style="1"/>
    <col min="14870" max="14870" width="4.375" style="1" customWidth="1"/>
    <col min="14871" max="14871" width="27" style="1" customWidth="1"/>
    <col min="14872" max="14872" width="26" style="1" customWidth="1"/>
    <col min="14873" max="14873" width="0" style="1" hidden="1" customWidth="1"/>
    <col min="14874" max="14874" width="4.625" style="1" customWidth="1"/>
    <col min="14875" max="14875" width="4.75" style="1" customWidth="1"/>
    <col min="14876" max="14876" width="23.875" style="1" customWidth="1"/>
    <col min="14877" max="14877" width="11" style="1" customWidth="1"/>
    <col min="14878" max="14878" width="25.25" style="1" customWidth="1"/>
    <col min="14879" max="15125" width="9.125" style="1"/>
    <col min="15126" max="15126" width="4.375" style="1" customWidth="1"/>
    <col min="15127" max="15127" width="27" style="1" customWidth="1"/>
    <col min="15128" max="15128" width="26" style="1" customWidth="1"/>
    <col min="15129" max="15129" width="0" style="1" hidden="1" customWidth="1"/>
    <col min="15130" max="15130" width="4.625" style="1" customWidth="1"/>
    <col min="15131" max="15131" width="4.75" style="1" customWidth="1"/>
    <col min="15132" max="15132" width="23.875" style="1" customWidth="1"/>
    <col min="15133" max="15133" width="11" style="1" customWidth="1"/>
    <col min="15134" max="15134" width="25.25" style="1" customWidth="1"/>
    <col min="15135" max="15381" width="9.125" style="1"/>
    <col min="15382" max="15382" width="4.375" style="1" customWidth="1"/>
    <col min="15383" max="15383" width="27" style="1" customWidth="1"/>
    <col min="15384" max="15384" width="26" style="1" customWidth="1"/>
    <col min="15385" max="15385" width="0" style="1" hidden="1" customWidth="1"/>
    <col min="15386" max="15386" width="4.625" style="1" customWidth="1"/>
    <col min="15387" max="15387" width="4.75" style="1" customWidth="1"/>
    <col min="15388" max="15388" width="23.875" style="1" customWidth="1"/>
    <col min="15389" max="15389" width="11" style="1" customWidth="1"/>
    <col min="15390" max="15390" width="25.25" style="1" customWidth="1"/>
    <col min="15391" max="15637" width="9.125" style="1"/>
    <col min="15638" max="15638" width="4.375" style="1" customWidth="1"/>
    <col min="15639" max="15639" width="27" style="1" customWidth="1"/>
    <col min="15640" max="15640" width="26" style="1" customWidth="1"/>
    <col min="15641" max="15641" width="0" style="1" hidden="1" customWidth="1"/>
    <col min="15642" max="15642" width="4.625" style="1" customWidth="1"/>
    <col min="15643" max="15643" width="4.75" style="1" customWidth="1"/>
    <col min="15644" max="15644" width="23.875" style="1" customWidth="1"/>
    <col min="15645" max="15645" width="11" style="1" customWidth="1"/>
    <col min="15646" max="15646" width="25.25" style="1" customWidth="1"/>
    <col min="15647" max="15893" width="9.125" style="1"/>
    <col min="15894" max="15894" width="4.375" style="1" customWidth="1"/>
    <col min="15895" max="15895" width="27" style="1" customWidth="1"/>
    <col min="15896" max="15896" width="26" style="1" customWidth="1"/>
    <col min="15897" max="15897" width="0" style="1" hidden="1" customWidth="1"/>
    <col min="15898" max="15898" width="4.625" style="1" customWidth="1"/>
    <col min="15899" max="15899" width="4.75" style="1" customWidth="1"/>
    <col min="15900" max="15900" width="23.875" style="1" customWidth="1"/>
    <col min="15901" max="15901" width="11" style="1" customWidth="1"/>
    <col min="15902" max="15902" width="25.25" style="1" customWidth="1"/>
    <col min="15903" max="16149" width="9.125" style="1"/>
    <col min="16150" max="16150" width="4.375" style="1" customWidth="1"/>
    <col min="16151" max="16151" width="27" style="1" customWidth="1"/>
    <col min="16152" max="16152" width="26" style="1" customWidth="1"/>
    <col min="16153" max="16153" width="0" style="1" hidden="1" customWidth="1"/>
    <col min="16154" max="16154" width="4.625" style="1" customWidth="1"/>
    <col min="16155" max="16155" width="4.75" style="1" customWidth="1"/>
    <col min="16156" max="16156" width="23.875" style="1" customWidth="1"/>
    <col min="16157" max="16157" width="11" style="1" customWidth="1"/>
    <col min="16158" max="16158" width="25.25" style="1" customWidth="1"/>
    <col min="16159" max="16384" width="9.125" style="1"/>
  </cols>
  <sheetData>
    <row r="1" spans="1:39" x14ac:dyDescent="0.2">
      <c r="A1" s="134" t="s">
        <v>0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</row>
    <row r="2" spans="1:39" x14ac:dyDescent="0.2">
      <c r="A2" s="134" t="s">
        <v>1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</row>
    <row r="3" spans="1:39" x14ac:dyDescent="0.2">
      <c r="A3" s="134" t="s">
        <v>2</v>
      </c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4"/>
      <c r="V3" s="134"/>
      <c r="W3" s="134"/>
      <c r="X3" s="134"/>
      <c r="Y3" s="134"/>
      <c r="Z3" s="134"/>
      <c r="AA3" s="134"/>
      <c r="AB3" s="134"/>
      <c r="AC3" s="134"/>
      <c r="AD3" s="134"/>
      <c r="AE3" s="134"/>
      <c r="AF3" s="134"/>
      <c r="AG3" s="134"/>
      <c r="AH3" s="134"/>
    </row>
    <row r="4" spans="1:39" ht="22.5" thickBot="1" x14ac:dyDescent="0.25">
      <c r="A4" s="135"/>
      <c r="B4" s="135"/>
      <c r="C4" s="135"/>
      <c r="D4" s="135"/>
      <c r="E4" s="94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9" ht="22.5" thickTop="1" x14ac:dyDescent="0.2">
      <c r="A5" s="136" t="s">
        <v>3</v>
      </c>
      <c r="B5" s="89"/>
      <c r="C5" s="136" t="s">
        <v>4</v>
      </c>
      <c r="D5" s="95"/>
      <c r="E5" s="136" t="s">
        <v>5</v>
      </c>
      <c r="F5" s="136" t="s">
        <v>302</v>
      </c>
      <c r="G5" s="136" t="s">
        <v>6</v>
      </c>
      <c r="H5" s="89"/>
      <c r="I5" s="4" t="s">
        <v>7</v>
      </c>
      <c r="J5" s="129" t="s">
        <v>302</v>
      </c>
      <c r="K5" s="129" t="s">
        <v>9</v>
      </c>
      <c r="L5" s="5"/>
      <c r="M5" s="6"/>
      <c r="N5" s="131">
        <v>2559</v>
      </c>
      <c r="O5" s="132"/>
      <c r="P5" s="132"/>
      <c r="Q5" s="132"/>
      <c r="R5" s="132"/>
      <c r="S5" s="132"/>
      <c r="T5" s="133"/>
      <c r="U5" s="131">
        <v>2560</v>
      </c>
      <c r="V5" s="132"/>
      <c r="W5" s="132"/>
      <c r="X5" s="132"/>
      <c r="Y5" s="132"/>
      <c r="Z5" s="132"/>
      <c r="AA5" s="133"/>
      <c r="AB5" s="131">
        <v>2561</v>
      </c>
      <c r="AC5" s="132"/>
      <c r="AD5" s="132"/>
      <c r="AE5" s="132"/>
      <c r="AF5" s="132"/>
      <c r="AG5" s="132"/>
      <c r="AH5" s="133"/>
      <c r="AK5" s="106">
        <f>N5</f>
        <v>2559</v>
      </c>
      <c r="AL5" s="106">
        <f>U5</f>
        <v>2560</v>
      </c>
      <c r="AM5" s="106">
        <f>AB5</f>
        <v>2561</v>
      </c>
    </row>
    <row r="6" spans="1:39" ht="22.5" thickBot="1" x14ac:dyDescent="0.25">
      <c r="A6" s="137"/>
      <c r="B6" s="90"/>
      <c r="C6" s="137"/>
      <c r="D6" s="96"/>
      <c r="E6" s="137"/>
      <c r="F6" s="138"/>
      <c r="G6" s="137"/>
      <c r="H6" s="90"/>
      <c r="I6" s="90"/>
      <c r="J6" s="130"/>
      <c r="K6" s="130"/>
      <c r="L6" s="7" t="s">
        <v>10</v>
      </c>
      <c r="M6" s="90" t="s">
        <v>11</v>
      </c>
      <c r="N6" s="8" t="s">
        <v>12</v>
      </c>
      <c r="O6" s="9" t="s">
        <v>13</v>
      </c>
      <c r="P6" s="9" t="s">
        <v>14</v>
      </c>
      <c r="Q6" s="9" t="s">
        <v>15</v>
      </c>
      <c r="R6" s="9" t="s">
        <v>16</v>
      </c>
      <c r="S6" s="9" t="s">
        <v>17</v>
      </c>
      <c r="T6" s="10" t="s">
        <v>18</v>
      </c>
      <c r="U6" s="8" t="s">
        <v>12</v>
      </c>
      <c r="V6" s="9" t="s">
        <v>13</v>
      </c>
      <c r="W6" s="9" t="s">
        <v>14</v>
      </c>
      <c r="X6" s="9" t="s">
        <v>15</v>
      </c>
      <c r="Y6" s="9" t="s">
        <v>16</v>
      </c>
      <c r="Z6" s="9" t="s">
        <v>17</v>
      </c>
      <c r="AA6" s="10" t="s">
        <v>18</v>
      </c>
      <c r="AB6" s="8" t="s">
        <v>12</v>
      </c>
      <c r="AC6" s="9" t="s">
        <v>13</v>
      </c>
      <c r="AD6" s="9" t="s">
        <v>14</v>
      </c>
      <c r="AE6" s="9" t="s">
        <v>15</v>
      </c>
      <c r="AF6" s="9" t="s">
        <v>16</v>
      </c>
      <c r="AG6" s="9" t="s">
        <v>17</v>
      </c>
      <c r="AH6" s="10" t="s">
        <v>18</v>
      </c>
      <c r="AJ6" s="106" t="s">
        <v>12</v>
      </c>
      <c r="AK6" s="107">
        <f>SUM(N7:$N$998)</f>
        <v>24</v>
      </c>
      <c r="AL6" s="107">
        <f>SUM(U7:U998)</f>
        <v>41</v>
      </c>
      <c r="AM6" s="107">
        <f>SUM(AB7:AB998)</f>
        <v>10</v>
      </c>
    </row>
    <row r="7" spans="1:39" ht="19.5" customHeight="1" thickTop="1" x14ac:dyDescent="0.5">
      <c r="A7" s="95">
        <v>1</v>
      </c>
      <c r="B7" s="95"/>
      <c r="C7" s="95"/>
      <c r="D7" s="95"/>
      <c r="E7" s="95"/>
      <c r="F7" s="59" t="s">
        <v>49</v>
      </c>
      <c r="G7" s="11" t="s">
        <v>19</v>
      </c>
      <c r="H7" s="89"/>
      <c r="I7" s="89"/>
      <c r="J7" s="89"/>
      <c r="K7" s="89"/>
      <c r="L7" s="89" t="s">
        <v>20</v>
      </c>
      <c r="M7" s="89"/>
      <c r="N7" s="91"/>
      <c r="O7" s="12"/>
      <c r="P7" s="12"/>
      <c r="Q7" s="12"/>
      <c r="R7" s="12"/>
      <c r="S7" s="103">
        <v>1</v>
      </c>
      <c r="T7" s="92"/>
      <c r="U7" s="91"/>
      <c r="V7" s="12"/>
      <c r="W7" s="12"/>
      <c r="X7" s="12"/>
      <c r="Y7" s="12"/>
      <c r="Z7" s="12"/>
      <c r="AA7" s="92"/>
      <c r="AB7" s="99"/>
      <c r="AC7" s="12"/>
      <c r="AD7" s="12"/>
      <c r="AE7" s="12"/>
      <c r="AF7" s="12"/>
      <c r="AG7" s="12"/>
      <c r="AH7" s="100"/>
      <c r="AJ7" s="106" t="s">
        <v>13</v>
      </c>
      <c r="AK7" s="107">
        <f>SUM(O7:O998)</f>
        <v>37</v>
      </c>
      <c r="AL7" s="107">
        <f>SUM(V7:V998)</f>
        <v>27</v>
      </c>
      <c r="AM7" s="107">
        <f>SUM(AC7:AC998)</f>
        <v>50</v>
      </c>
    </row>
    <row r="8" spans="1:39" ht="19.5" customHeight="1" x14ac:dyDescent="0.5">
      <c r="A8" s="96">
        <v>2</v>
      </c>
      <c r="B8" s="96"/>
      <c r="C8" s="96"/>
      <c r="D8" s="96"/>
      <c r="E8" s="96"/>
      <c r="F8" s="13" t="s">
        <v>50</v>
      </c>
      <c r="G8" s="14"/>
      <c r="H8" s="15"/>
      <c r="I8" s="15"/>
      <c r="J8" s="15"/>
      <c r="K8" s="15"/>
      <c r="L8" s="15"/>
      <c r="M8" s="15"/>
      <c r="N8" s="16"/>
      <c r="O8" s="17"/>
      <c r="P8" s="17"/>
      <c r="Q8" s="17"/>
      <c r="R8" s="17"/>
      <c r="S8" s="17">
        <v>1</v>
      </c>
      <c r="T8" s="18"/>
      <c r="U8" s="16"/>
      <c r="V8" s="17"/>
      <c r="W8" s="17"/>
      <c r="X8" s="17"/>
      <c r="Y8" s="17"/>
      <c r="Z8" s="17"/>
      <c r="AA8" s="18"/>
      <c r="AB8" s="16"/>
      <c r="AC8" s="17"/>
      <c r="AD8" s="17"/>
      <c r="AE8" s="17"/>
      <c r="AF8" s="17"/>
      <c r="AG8" s="17"/>
      <c r="AH8" s="19"/>
      <c r="AJ8" s="106" t="s">
        <v>14</v>
      </c>
      <c r="AK8" s="107">
        <f>SUM(P7:P998)</f>
        <v>0</v>
      </c>
      <c r="AL8" s="107">
        <f>SUM(W7:W998)</f>
        <v>23</v>
      </c>
      <c r="AM8" s="107">
        <f>SUM(AD7:AD998)</f>
        <v>0</v>
      </c>
    </row>
    <row r="9" spans="1:39" ht="19.5" customHeight="1" x14ac:dyDescent="0.2">
      <c r="A9" s="96">
        <v>3</v>
      </c>
      <c r="B9" s="96"/>
      <c r="C9" s="96"/>
      <c r="D9" s="96"/>
      <c r="E9" s="96"/>
      <c r="F9" s="20" t="s">
        <v>153</v>
      </c>
      <c r="G9" s="96"/>
      <c r="H9" s="90"/>
      <c r="I9" s="90"/>
      <c r="J9" s="90"/>
      <c r="K9" s="90"/>
      <c r="L9" s="90"/>
      <c r="M9" s="90"/>
      <c r="N9" s="21"/>
      <c r="S9" s="17">
        <v>1</v>
      </c>
      <c r="U9" s="21"/>
      <c r="AB9" s="21"/>
      <c r="AH9" s="7"/>
      <c r="AJ9" s="106" t="s">
        <v>15</v>
      </c>
      <c r="AK9" s="107">
        <f>SUM(Q7:Q998)</f>
        <v>2</v>
      </c>
      <c r="AL9" s="107">
        <f>SUM(X7:X998)</f>
        <v>23</v>
      </c>
      <c r="AM9" s="107">
        <f>SUM(AE7:AE998)</f>
        <v>5</v>
      </c>
    </row>
    <row r="10" spans="1:39" ht="20.25" customHeight="1" thickBot="1" x14ac:dyDescent="0.25">
      <c r="A10" s="23">
        <v>4</v>
      </c>
      <c r="B10" s="23"/>
      <c r="C10" s="23"/>
      <c r="D10" s="23"/>
      <c r="E10" s="23"/>
      <c r="F10" s="71" t="s">
        <v>154</v>
      </c>
      <c r="G10" s="24"/>
      <c r="H10" s="25"/>
      <c r="I10" s="25"/>
      <c r="J10" s="25"/>
      <c r="K10" s="25"/>
      <c r="L10" s="25"/>
      <c r="M10" s="25"/>
      <c r="N10" s="26"/>
      <c r="O10" s="27"/>
      <c r="P10" s="27"/>
      <c r="Q10" s="27"/>
      <c r="R10" s="27"/>
      <c r="S10" s="27">
        <v>2</v>
      </c>
      <c r="T10" s="3"/>
      <c r="U10" s="26"/>
      <c r="V10" s="27"/>
      <c r="W10" s="27"/>
      <c r="X10" s="27"/>
      <c r="Y10" s="27"/>
      <c r="Z10" s="27"/>
      <c r="AA10" s="3"/>
      <c r="AB10" s="26"/>
      <c r="AC10" s="27"/>
      <c r="AD10" s="27"/>
      <c r="AE10" s="27"/>
      <c r="AF10" s="27"/>
      <c r="AG10" s="27"/>
      <c r="AH10" s="28"/>
      <c r="AJ10" s="106" t="s">
        <v>16</v>
      </c>
      <c r="AK10" s="107">
        <f>SUM(R7:R998)</f>
        <v>0</v>
      </c>
      <c r="AL10" s="107">
        <f>SUM(Y7:Y998)</f>
        <v>73</v>
      </c>
      <c r="AM10" s="107">
        <f>SUM(AF7:AF998)</f>
        <v>6</v>
      </c>
    </row>
    <row r="11" spans="1:39" ht="19.5" customHeight="1" thickTop="1" x14ac:dyDescent="0.2">
      <c r="A11" s="96">
        <v>5</v>
      </c>
      <c r="B11" s="96"/>
      <c r="C11" s="96"/>
      <c r="D11" s="96"/>
      <c r="E11" s="96"/>
      <c r="F11" s="20" t="s">
        <v>155</v>
      </c>
      <c r="G11" s="29"/>
      <c r="I11" s="90"/>
      <c r="J11" s="90"/>
      <c r="K11" s="90"/>
      <c r="L11" s="90"/>
      <c r="M11" s="90"/>
      <c r="N11" s="21"/>
      <c r="S11" s="22">
        <v>2</v>
      </c>
      <c r="U11" s="21"/>
      <c r="AB11" s="21"/>
      <c r="AH11" s="7"/>
      <c r="AJ11" s="106" t="s">
        <v>17</v>
      </c>
      <c r="AK11" s="107">
        <f>SUM(S7:S998)</f>
        <v>44</v>
      </c>
      <c r="AL11" s="107">
        <f>SUM(Z7:Z998)</f>
        <v>56</v>
      </c>
      <c r="AM11" s="107">
        <f>SUM(AG7:AG998)</f>
        <v>5</v>
      </c>
    </row>
    <row r="12" spans="1:39" ht="18.75" customHeight="1" x14ac:dyDescent="0.5">
      <c r="A12" s="96">
        <v>6</v>
      </c>
      <c r="B12" s="96"/>
      <c r="C12" s="96"/>
      <c r="D12" s="96"/>
      <c r="E12" s="96"/>
      <c r="F12" s="30" t="s">
        <v>156</v>
      </c>
      <c r="G12" s="31" t="s">
        <v>21</v>
      </c>
      <c r="H12" s="32" t="s">
        <v>22</v>
      </c>
      <c r="I12" s="33"/>
      <c r="J12" s="33"/>
      <c r="K12" s="33"/>
      <c r="L12" s="33" t="s">
        <v>20</v>
      </c>
      <c r="M12" s="33"/>
      <c r="N12" s="34"/>
      <c r="O12" s="35"/>
      <c r="P12" s="35"/>
      <c r="Q12" s="35"/>
      <c r="R12" s="35"/>
      <c r="S12" s="35">
        <v>2</v>
      </c>
      <c r="T12" s="36"/>
      <c r="U12" s="34"/>
      <c r="V12" s="35"/>
      <c r="W12" s="35"/>
      <c r="X12" s="35"/>
      <c r="Y12" s="35"/>
      <c r="Z12" s="35"/>
      <c r="AA12" s="36"/>
      <c r="AB12" s="34"/>
      <c r="AC12" s="35"/>
      <c r="AD12" s="35"/>
      <c r="AE12" s="35"/>
      <c r="AF12" s="35"/>
      <c r="AG12" s="35"/>
      <c r="AH12" s="37"/>
      <c r="AJ12" s="106" t="s">
        <v>18</v>
      </c>
      <c r="AK12" s="107">
        <f>SUM(T7:T998)</f>
        <v>42</v>
      </c>
      <c r="AL12" s="107">
        <f>SUM(AA7:AA998)</f>
        <v>23</v>
      </c>
      <c r="AM12" s="107">
        <f>SUM(AH7:AH998)</f>
        <v>1</v>
      </c>
    </row>
    <row r="13" spans="1:39" ht="19.5" customHeight="1" x14ac:dyDescent="0.2">
      <c r="A13" s="96">
        <v>7</v>
      </c>
      <c r="B13" s="96"/>
      <c r="C13" s="96"/>
      <c r="D13" s="96"/>
      <c r="E13" s="96"/>
      <c r="F13" s="38" t="s">
        <v>157</v>
      </c>
      <c r="G13" s="39"/>
      <c r="H13" s="90"/>
      <c r="I13" s="90"/>
      <c r="J13" s="90"/>
      <c r="K13" s="90"/>
      <c r="L13" s="90"/>
      <c r="M13" s="90"/>
      <c r="N13" s="21"/>
      <c r="S13" s="22">
        <v>2</v>
      </c>
      <c r="U13" s="21"/>
      <c r="AB13" s="21"/>
      <c r="AH13" s="7"/>
      <c r="AJ13" s="101"/>
    </row>
    <row r="14" spans="1:39" ht="19.5" customHeight="1" x14ac:dyDescent="0.2">
      <c r="A14" s="96">
        <v>8</v>
      </c>
      <c r="B14" s="96"/>
      <c r="C14" s="96"/>
      <c r="D14" s="96"/>
      <c r="E14" s="96"/>
      <c r="F14" s="20" t="s">
        <v>158</v>
      </c>
      <c r="G14" s="39"/>
      <c r="H14" s="90"/>
      <c r="I14" s="90"/>
      <c r="J14" s="90"/>
      <c r="K14" s="90"/>
      <c r="L14" s="90"/>
      <c r="M14" s="90"/>
      <c r="N14" s="21"/>
      <c r="S14" s="22">
        <v>4</v>
      </c>
      <c r="U14" s="21"/>
      <c r="X14" s="22" t="s">
        <v>110</v>
      </c>
      <c r="Z14" s="88"/>
      <c r="AB14" s="21"/>
      <c r="AH14" s="7"/>
      <c r="AJ14" s="101"/>
    </row>
    <row r="15" spans="1:39" ht="24" customHeight="1" thickBot="1" x14ac:dyDescent="0.25">
      <c r="A15" s="79">
        <v>9</v>
      </c>
      <c r="B15" s="23"/>
      <c r="C15" s="23"/>
      <c r="D15" s="23"/>
      <c r="E15" s="23"/>
      <c r="F15" s="81" t="s">
        <v>159</v>
      </c>
      <c r="G15" s="24"/>
      <c r="H15" s="25"/>
      <c r="I15" s="25"/>
      <c r="J15" s="25"/>
      <c r="K15" s="25"/>
      <c r="L15" s="25"/>
      <c r="M15" s="25"/>
      <c r="N15" s="26"/>
      <c r="O15" s="27"/>
      <c r="P15" s="27"/>
      <c r="Q15" s="27"/>
      <c r="R15" s="27"/>
      <c r="S15" s="27">
        <v>3</v>
      </c>
      <c r="T15" s="3"/>
      <c r="U15" s="26"/>
      <c r="V15" s="27"/>
      <c r="W15" s="27"/>
      <c r="X15" s="27"/>
      <c r="Y15" s="27"/>
      <c r="Z15" s="27"/>
      <c r="AA15" s="3"/>
      <c r="AB15" s="26"/>
      <c r="AC15" s="27"/>
      <c r="AD15" s="27"/>
      <c r="AE15" s="27"/>
      <c r="AF15" s="27"/>
      <c r="AG15" s="27"/>
      <c r="AH15" s="28"/>
      <c r="AJ15" s="101"/>
    </row>
    <row r="16" spans="1:39" ht="19.5" customHeight="1" thickTop="1" x14ac:dyDescent="0.5">
      <c r="A16" s="95">
        <v>10</v>
      </c>
      <c r="B16" s="95"/>
      <c r="C16" s="95"/>
      <c r="D16" s="95"/>
      <c r="E16" s="95"/>
      <c r="F16" s="40" t="s">
        <v>160</v>
      </c>
      <c r="G16" s="41" t="s">
        <v>23</v>
      </c>
      <c r="H16" s="42"/>
      <c r="I16" s="89"/>
      <c r="J16" s="89"/>
      <c r="K16" s="89"/>
      <c r="L16" s="89" t="s">
        <v>20</v>
      </c>
      <c r="M16" s="89"/>
      <c r="N16" s="91"/>
      <c r="O16" s="12"/>
      <c r="P16" s="12"/>
      <c r="Q16" s="12"/>
      <c r="R16" s="12"/>
      <c r="S16" s="12">
        <v>3</v>
      </c>
      <c r="T16" s="92"/>
      <c r="U16" s="91"/>
      <c r="V16" s="12"/>
      <c r="W16" s="12"/>
      <c r="X16" s="12"/>
      <c r="Y16" s="12"/>
      <c r="Z16" s="12">
        <v>4</v>
      </c>
      <c r="AA16" s="92"/>
      <c r="AB16" s="99"/>
      <c r="AC16" s="12"/>
      <c r="AD16" s="12"/>
      <c r="AE16" s="12"/>
      <c r="AF16" s="12"/>
      <c r="AG16" s="12"/>
      <c r="AH16" s="100"/>
      <c r="AJ16" s="101"/>
    </row>
    <row r="17" spans="1:36" ht="19.5" customHeight="1" x14ac:dyDescent="0.5">
      <c r="A17" s="96">
        <v>11</v>
      </c>
      <c r="B17" s="96"/>
      <c r="C17" s="96"/>
      <c r="D17" s="96"/>
      <c r="E17" s="96"/>
      <c r="F17" s="55" t="s">
        <v>161</v>
      </c>
      <c r="G17" s="43" t="s">
        <v>24</v>
      </c>
      <c r="H17" s="44" t="s">
        <v>25</v>
      </c>
      <c r="I17" s="33"/>
      <c r="J17" s="33"/>
      <c r="K17" s="33"/>
      <c r="L17" s="33" t="s">
        <v>20</v>
      </c>
      <c r="M17" s="33"/>
      <c r="N17" s="34"/>
      <c r="O17" s="35"/>
      <c r="P17" s="35"/>
      <c r="Q17" s="35"/>
      <c r="R17" s="35"/>
      <c r="S17" s="35">
        <v>2</v>
      </c>
      <c r="T17" s="36"/>
      <c r="U17" s="34"/>
      <c r="V17" s="35"/>
      <c r="W17" s="35"/>
      <c r="X17" s="35"/>
      <c r="Y17" s="35"/>
      <c r="Z17" s="35">
        <v>3</v>
      </c>
      <c r="AA17" s="36"/>
      <c r="AB17" s="34"/>
      <c r="AC17" s="35"/>
      <c r="AD17" s="35"/>
      <c r="AE17" s="35"/>
      <c r="AF17" s="35"/>
      <c r="AG17" s="35"/>
      <c r="AH17" s="37"/>
      <c r="AJ17" s="101"/>
    </row>
    <row r="18" spans="1:36" ht="19.5" customHeight="1" x14ac:dyDescent="0.2">
      <c r="A18" s="96">
        <v>12</v>
      </c>
      <c r="B18" s="96"/>
      <c r="C18" s="96"/>
      <c r="D18" s="96"/>
      <c r="E18" s="96"/>
      <c r="F18" s="45" t="s">
        <v>162</v>
      </c>
      <c r="G18" s="39"/>
      <c r="H18" s="90"/>
      <c r="I18" s="90"/>
      <c r="J18" s="90"/>
      <c r="K18" s="90"/>
      <c r="L18" s="90"/>
      <c r="M18" s="90"/>
      <c r="N18" s="21"/>
      <c r="S18" s="22">
        <v>3</v>
      </c>
      <c r="U18" s="21"/>
      <c r="AB18" s="21"/>
      <c r="AH18" s="7"/>
      <c r="AJ18" s="101"/>
    </row>
    <row r="19" spans="1:36" ht="19.5" customHeight="1" x14ac:dyDescent="0.5">
      <c r="A19" s="96">
        <v>13</v>
      </c>
      <c r="B19" s="96"/>
      <c r="C19" s="96"/>
      <c r="D19" s="96"/>
      <c r="E19" s="96"/>
      <c r="F19" s="46" t="s">
        <v>163</v>
      </c>
      <c r="G19" s="39"/>
      <c r="H19" s="90"/>
      <c r="I19" s="90"/>
      <c r="J19" s="90"/>
      <c r="K19" s="90"/>
      <c r="L19" s="90"/>
      <c r="M19" s="90"/>
      <c r="N19" s="21"/>
      <c r="S19" s="22">
        <v>3</v>
      </c>
      <c r="U19" s="21"/>
      <c r="AB19" s="21"/>
      <c r="AH19" s="7"/>
      <c r="AJ19" s="101"/>
    </row>
    <row r="20" spans="1:36" ht="20.25" customHeight="1" thickBot="1" x14ac:dyDescent="0.55000000000000004">
      <c r="A20" s="23">
        <v>14</v>
      </c>
      <c r="B20" s="23"/>
      <c r="C20" s="23"/>
      <c r="D20" s="23"/>
      <c r="E20" s="23"/>
      <c r="F20" s="47" t="s">
        <v>164</v>
      </c>
      <c r="G20" s="48"/>
      <c r="H20" s="25"/>
      <c r="I20" s="25"/>
      <c r="J20" s="25"/>
      <c r="K20" s="25"/>
      <c r="L20" s="25"/>
      <c r="M20" s="25"/>
      <c r="N20" s="26"/>
      <c r="O20" s="27"/>
      <c r="P20" s="27"/>
      <c r="Q20" s="27"/>
      <c r="R20" s="27"/>
      <c r="S20" s="27">
        <v>4</v>
      </c>
      <c r="T20" s="3"/>
      <c r="U20" s="26"/>
      <c r="V20" s="27"/>
      <c r="W20" s="27"/>
      <c r="X20" s="27"/>
      <c r="Y20" s="27"/>
      <c r="Z20" s="27"/>
      <c r="AA20" s="3"/>
      <c r="AB20" s="26"/>
      <c r="AC20" s="27"/>
      <c r="AD20" s="27"/>
      <c r="AE20" s="27"/>
      <c r="AF20" s="27"/>
      <c r="AG20" s="27"/>
      <c r="AH20" s="28"/>
      <c r="AJ20" s="101"/>
    </row>
    <row r="21" spans="1:36" ht="19.5" customHeight="1" thickTop="1" x14ac:dyDescent="0.5">
      <c r="A21" s="95">
        <v>15</v>
      </c>
      <c r="B21" s="95"/>
      <c r="C21" s="95"/>
      <c r="D21" s="95"/>
      <c r="E21" s="95"/>
      <c r="F21" s="49" t="s">
        <v>165</v>
      </c>
      <c r="G21" s="40" t="s">
        <v>26</v>
      </c>
      <c r="H21" s="89"/>
      <c r="I21" s="89"/>
      <c r="J21" s="89"/>
      <c r="K21" s="89"/>
      <c r="L21" s="89" t="s">
        <v>20</v>
      </c>
      <c r="M21" s="89"/>
      <c r="N21" s="91"/>
      <c r="O21" s="12"/>
      <c r="P21" s="12"/>
      <c r="Q21" s="12"/>
      <c r="R21" s="12"/>
      <c r="S21" s="12">
        <v>4</v>
      </c>
      <c r="T21" s="92"/>
      <c r="U21" s="91"/>
      <c r="V21" s="12"/>
      <c r="W21" s="12"/>
      <c r="X21" s="12"/>
      <c r="Y21" s="12"/>
      <c r="Z21" s="12"/>
      <c r="AA21" s="92"/>
      <c r="AB21" s="99"/>
      <c r="AC21" s="12"/>
      <c r="AD21" s="12"/>
      <c r="AE21" s="12"/>
      <c r="AF21" s="12"/>
      <c r="AG21" s="12"/>
      <c r="AH21" s="100"/>
      <c r="AJ21" s="101"/>
    </row>
    <row r="22" spans="1:36" ht="19.5" customHeight="1" x14ac:dyDescent="0.5">
      <c r="A22" s="96">
        <v>16</v>
      </c>
      <c r="B22" s="96"/>
      <c r="C22" s="96"/>
      <c r="D22" s="96"/>
      <c r="E22" s="96"/>
      <c r="F22" s="46" t="s">
        <v>166</v>
      </c>
      <c r="G22" s="50"/>
      <c r="H22" s="15"/>
      <c r="I22" s="15"/>
      <c r="J22" s="15"/>
      <c r="K22" s="15"/>
      <c r="L22" s="15"/>
      <c r="M22" s="15"/>
      <c r="N22" s="16"/>
      <c r="O22" s="17"/>
      <c r="P22" s="17"/>
      <c r="Q22" s="17"/>
      <c r="R22" s="17"/>
      <c r="S22" s="17">
        <v>5</v>
      </c>
      <c r="T22" s="18"/>
      <c r="U22" s="16"/>
      <c r="V22" s="17"/>
      <c r="W22" s="17"/>
      <c r="X22" s="17"/>
      <c r="Y22" s="17"/>
      <c r="Z22" s="17"/>
      <c r="AA22" s="18"/>
      <c r="AB22" s="16"/>
      <c r="AC22" s="17"/>
      <c r="AD22" s="17"/>
      <c r="AE22" s="17"/>
      <c r="AF22" s="17"/>
      <c r="AG22" s="17"/>
      <c r="AH22" s="19"/>
      <c r="AJ22" s="101"/>
    </row>
    <row r="23" spans="1:36" ht="19.5" customHeight="1" x14ac:dyDescent="0.5">
      <c r="A23" s="96">
        <v>17</v>
      </c>
      <c r="B23" s="96"/>
      <c r="C23" s="96"/>
      <c r="D23" s="96"/>
      <c r="E23" s="96"/>
      <c r="F23" s="46" t="s">
        <v>167</v>
      </c>
      <c r="G23" s="39"/>
      <c r="H23" s="90"/>
      <c r="I23" s="90"/>
      <c r="J23" s="90"/>
      <c r="K23" s="90"/>
      <c r="L23" s="90"/>
      <c r="M23" s="90"/>
      <c r="N23" s="21"/>
      <c r="U23" s="21"/>
      <c r="AB23" s="21"/>
      <c r="AH23" s="7"/>
      <c r="AJ23" s="101"/>
    </row>
    <row r="24" spans="1:36" ht="20.25" customHeight="1" thickBot="1" x14ac:dyDescent="0.55000000000000004">
      <c r="A24" s="23">
        <v>18</v>
      </c>
      <c r="B24" s="23"/>
      <c r="C24" s="23"/>
      <c r="D24" s="23"/>
      <c r="E24" s="23"/>
      <c r="F24" s="47" t="s">
        <v>130</v>
      </c>
      <c r="G24" s="48"/>
      <c r="H24" s="25"/>
      <c r="I24" s="25"/>
      <c r="J24" s="25"/>
      <c r="K24" s="25"/>
      <c r="L24" s="25"/>
      <c r="M24" s="25"/>
      <c r="N24" s="26"/>
      <c r="O24" s="27"/>
      <c r="P24" s="27"/>
      <c r="Q24" s="27">
        <v>2</v>
      </c>
      <c r="R24" s="27"/>
      <c r="S24" s="27">
        <v>2</v>
      </c>
      <c r="T24" s="3">
        <v>2</v>
      </c>
      <c r="U24" s="26"/>
      <c r="V24" s="27"/>
      <c r="W24" s="27"/>
      <c r="X24" s="27"/>
      <c r="Y24" s="27"/>
      <c r="Z24" s="27"/>
      <c r="AA24" s="3"/>
      <c r="AB24" s="26"/>
      <c r="AC24" s="27"/>
      <c r="AD24" s="27"/>
      <c r="AE24" s="27"/>
      <c r="AF24" s="27"/>
      <c r="AG24" s="27"/>
      <c r="AH24" s="28"/>
      <c r="AJ24" s="101"/>
    </row>
    <row r="25" spans="1:36" ht="19.5" customHeight="1" thickTop="1" x14ac:dyDescent="0.5">
      <c r="A25" s="95">
        <v>19</v>
      </c>
      <c r="B25" s="95"/>
      <c r="C25" s="95"/>
      <c r="D25" s="95"/>
      <c r="E25" s="95"/>
      <c r="F25" s="51" t="s">
        <v>51</v>
      </c>
      <c r="G25" s="41" t="s">
        <v>27</v>
      </c>
      <c r="H25" s="42"/>
      <c r="I25" s="89"/>
      <c r="J25" s="89"/>
      <c r="K25" s="89"/>
      <c r="L25" s="89" t="s">
        <v>20</v>
      </c>
      <c r="M25" s="89"/>
      <c r="N25" s="91"/>
      <c r="O25" s="12"/>
      <c r="P25" s="12"/>
      <c r="Q25" s="12"/>
      <c r="R25" s="12"/>
      <c r="S25" s="12"/>
      <c r="T25" s="92">
        <v>2</v>
      </c>
      <c r="U25" s="91"/>
      <c r="V25" s="12"/>
      <c r="W25" s="12"/>
      <c r="X25" s="12"/>
      <c r="Y25" s="12"/>
      <c r="Z25" s="12"/>
      <c r="AA25" s="92"/>
      <c r="AB25" s="99"/>
      <c r="AC25" s="12"/>
      <c r="AD25" s="12"/>
      <c r="AE25" s="12"/>
      <c r="AF25" s="12"/>
      <c r="AG25" s="12"/>
      <c r="AH25" s="100"/>
      <c r="AJ25" s="101"/>
    </row>
    <row r="26" spans="1:36" ht="21" customHeight="1" x14ac:dyDescent="0.2">
      <c r="A26" s="96">
        <v>20</v>
      </c>
      <c r="B26" s="96"/>
      <c r="C26" s="96"/>
      <c r="D26" s="96"/>
      <c r="E26" s="96"/>
      <c r="F26" s="52" t="s">
        <v>52</v>
      </c>
      <c r="G26" s="31" t="s">
        <v>28</v>
      </c>
      <c r="H26" s="32" t="s">
        <v>29</v>
      </c>
      <c r="I26" s="33"/>
      <c r="J26" s="33"/>
      <c r="K26" s="33"/>
      <c r="L26" s="33" t="s">
        <v>20</v>
      </c>
      <c r="M26" s="33"/>
      <c r="N26" s="34"/>
      <c r="O26" s="35"/>
      <c r="P26" s="35"/>
      <c r="Q26" s="35"/>
      <c r="R26" s="35"/>
      <c r="S26" s="35"/>
      <c r="T26" s="36">
        <v>1</v>
      </c>
      <c r="U26" s="34"/>
      <c r="V26" s="35"/>
      <c r="W26" s="35"/>
      <c r="X26" s="35"/>
      <c r="Y26" s="35"/>
      <c r="Z26" s="35"/>
      <c r="AA26" s="36">
        <v>2</v>
      </c>
      <c r="AB26" s="34"/>
      <c r="AC26" s="35"/>
      <c r="AD26" s="35"/>
      <c r="AE26" s="35"/>
      <c r="AF26" s="35"/>
      <c r="AG26" s="35"/>
      <c r="AH26" s="37"/>
      <c r="AJ26" s="101"/>
    </row>
    <row r="27" spans="1:36" ht="19.5" customHeight="1" x14ac:dyDescent="0.5">
      <c r="A27" s="96">
        <v>21</v>
      </c>
      <c r="B27" s="96"/>
      <c r="C27" s="96"/>
      <c r="D27" s="96"/>
      <c r="E27" s="96"/>
      <c r="F27" s="53" t="s">
        <v>53</v>
      </c>
      <c r="G27" s="39"/>
      <c r="H27" s="90"/>
      <c r="I27" s="90"/>
      <c r="J27" s="90"/>
      <c r="K27" s="90"/>
      <c r="L27" s="90"/>
      <c r="M27" s="90"/>
      <c r="N27" s="21"/>
      <c r="T27" s="94">
        <v>2</v>
      </c>
      <c r="U27" s="21"/>
      <c r="AB27" s="21"/>
      <c r="AH27" s="7"/>
      <c r="AJ27" s="101"/>
    </row>
    <row r="28" spans="1:36" ht="20.25" customHeight="1" thickBot="1" x14ac:dyDescent="0.55000000000000004">
      <c r="A28" s="23">
        <v>22</v>
      </c>
      <c r="B28" s="23"/>
      <c r="C28" s="23"/>
      <c r="D28" s="23"/>
      <c r="E28" s="23"/>
      <c r="F28" s="54" t="s">
        <v>54</v>
      </c>
      <c r="G28" s="48"/>
      <c r="H28" s="25"/>
      <c r="I28" s="25"/>
      <c r="J28" s="25"/>
      <c r="K28" s="25"/>
      <c r="L28" s="25"/>
      <c r="M28" s="25"/>
      <c r="N28" s="26"/>
      <c r="O28" s="27"/>
      <c r="P28" s="27"/>
      <c r="Q28" s="27"/>
      <c r="R28" s="27"/>
      <c r="S28" s="27"/>
      <c r="T28" s="3">
        <v>1</v>
      </c>
      <c r="U28" s="26"/>
      <c r="V28" s="27"/>
      <c r="W28" s="27"/>
      <c r="X28" s="27"/>
      <c r="Y28" s="27"/>
      <c r="Z28" s="27"/>
      <c r="AA28" s="3"/>
      <c r="AB28" s="26"/>
      <c r="AC28" s="27"/>
      <c r="AD28" s="27"/>
      <c r="AE28" s="27"/>
      <c r="AF28" s="27"/>
      <c r="AG28" s="27"/>
      <c r="AH28" s="28"/>
      <c r="AJ28" s="101"/>
    </row>
    <row r="29" spans="1:36" ht="19.5" customHeight="1" thickTop="1" x14ac:dyDescent="0.5">
      <c r="A29" s="95">
        <v>23</v>
      </c>
      <c r="B29" s="95"/>
      <c r="C29" s="95"/>
      <c r="D29" s="95"/>
      <c r="E29" s="95"/>
      <c r="F29" s="49" t="s">
        <v>55</v>
      </c>
      <c r="G29" s="41" t="s">
        <v>30</v>
      </c>
      <c r="H29" s="42"/>
      <c r="I29" s="89"/>
      <c r="J29" s="89"/>
      <c r="K29" s="89"/>
      <c r="L29" s="89" t="s">
        <v>20</v>
      </c>
      <c r="M29" s="89"/>
      <c r="N29" s="91"/>
      <c r="O29" s="12"/>
      <c r="P29" s="12"/>
      <c r="Q29" s="12"/>
      <c r="R29" s="12"/>
      <c r="S29" s="12"/>
      <c r="T29" s="92">
        <v>2</v>
      </c>
      <c r="U29" s="91"/>
      <c r="V29" s="12"/>
      <c r="W29" s="12"/>
      <c r="X29" s="12"/>
      <c r="Y29" s="12"/>
      <c r="Z29" s="12"/>
      <c r="AA29" s="92"/>
      <c r="AB29" s="99"/>
      <c r="AC29" s="12"/>
      <c r="AD29" s="12"/>
      <c r="AE29" s="12"/>
      <c r="AF29" s="12"/>
      <c r="AG29" s="12"/>
      <c r="AH29" s="100"/>
      <c r="AJ29" s="101"/>
    </row>
    <row r="30" spans="1:36" ht="21.75" customHeight="1" x14ac:dyDescent="0.5">
      <c r="A30" s="96">
        <v>24</v>
      </c>
      <c r="B30" s="96"/>
      <c r="C30" s="96"/>
      <c r="D30" s="96"/>
      <c r="E30" s="96"/>
      <c r="F30" s="46" t="s">
        <v>56</v>
      </c>
      <c r="G30" s="55" t="s">
        <v>31</v>
      </c>
      <c r="H30" s="56" t="s">
        <v>32</v>
      </c>
      <c r="I30" s="90"/>
      <c r="J30" s="90"/>
      <c r="K30" s="90"/>
      <c r="L30" s="90" t="s">
        <v>20</v>
      </c>
      <c r="M30" s="90"/>
      <c r="N30" s="21"/>
      <c r="T30" s="94">
        <v>2</v>
      </c>
      <c r="U30" s="21"/>
      <c r="AB30" s="21"/>
      <c r="AH30" s="7"/>
      <c r="AJ30" s="101"/>
    </row>
    <row r="31" spans="1:36" ht="19.5" customHeight="1" x14ac:dyDescent="0.5">
      <c r="A31" s="96">
        <v>25</v>
      </c>
      <c r="B31" s="96"/>
      <c r="C31" s="96"/>
      <c r="D31" s="96"/>
      <c r="E31" s="96"/>
      <c r="F31" s="46" t="s">
        <v>57</v>
      </c>
      <c r="G31" s="39"/>
      <c r="H31" s="90"/>
      <c r="I31" s="90"/>
      <c r="J31" s="90"/>
      <c r="K31" s="90"/>
      <c r="L31" s="90"/>
      <c r="M31" s="90"/>
      <c r="N31" s="21"/>
      <c r="T31" s="94">
        <v>1</v>
      </c>
      <c r="U31" s="21"/>
      <c r="AB31" s="21"/>
      <c r="AH31" s="7"/>
      <c r="AJ31" s="101"/>
    </row>
    <row r="32" spans="1:36" ht="20.25" customHeight="1" thickBot="1" x14ac:dyDescent="0.55000000000000004">
      <c r="A32" s="23">
        <v>26</v>
      </c>
      <c r="B32" s="23"/>
      <c r="C32" s="23"/>
      <c r="D32" s="23"/>
      <c r="E32" s="23"/>
      <c r="F32" s="47" t="s">
        <v>58</v>
      </c>
      <c r="G32" s="48"/>
      <c r="H32" s="3"/>
      <c r="I32" s="25"/>
      <c r="J32" s="25"/>
      <c r="K32" s="25"/>
      <c r="L32" s="25"/>
      <c r="M32" s="25"/>
      <c r="N32" s="26"/>
      <c r="O32" s="27"/>
      <c r="P32" s="27"/>
      <c r="Q32" s="27"/>
      <c r="R32" s="27"/>
      <c r="S32" s="27"/>
      <c r="T32" s="3">
        <v>2</v>
      </c>
      <c r="U32" s="26"/>
      <c r="V32" s="27"/>
      <c r="W32" s="27"/>
      <c r="X32" s="27"/>
      <c r="Y32" s="27"/>
      <c r="Z32" s="27"/>
      <c r="AA32" s="3"/>
      <c r="AB32" s="26"/>
      <c r="AC32" s="27"/>
      <c r="AD32" s="27"/>
      <c r="AE32" s="27"/>
      <c r="AF32" s="27"/>
      <c r="AG32" s="27"/>
      <c r="AH32" s="28"/>
      <c r="AJ32" s="101"/>
    </row>
    <row r="33" spans="1:36" ht="19.5" customHeight="1" thickTop="1" x14ac:dyDescent="0.5">
      <c r="A33" s="96">
        <v>27</v>
      </c>
      <c r="B33" s="96"/>
      <c r="C33" s="96"/>
      <c r="D33" s="96"/>
      <c r="E33" s="96"/>
      <c r="F33" s="55" t="s">
        <v>59</v>
      </c>
      <c r="G33" s="57" t="s">
        <v>33</v>
      </c>
      <c r="H33" s="58"/>
      <c r="I33" s="90"/>
      <c r="J33" s="90"/>
      <c r="K33" s="90"/>
      <c r="L33" s="90" t="s">
        <v>20</v>
      </c>
      <c r="M33" s="90"/>
      <c r="N33" s="21"/>
      <c r="T33" s="94">
        <v>2</v>
      </c>
      <c r="U33" s="21"/>
      <c r="AB33" s="21"/>
      <c r="AH33" s="7"/>
      <c r="AJ33" s="101"/>
    </row>
    <row r="34" spans="1:36" ht="24" customHeight="1" x14ac:dyDescent="0.5">
      <c r="A34" s="96">
        <v>28</v>
      </c>
      <c r="B34" s="96"/>
      <c r="C34" s="96"/>
      <c r="D34" s="96"/>
      <c r="E34" s="96"/>
      <c r="F34" s="46" t="s">
        <v>60</v>
      </c>
      <c r="G34" s="43" t="s">
        <v>34</v>
      </c>
      <c r="H34" s="32" t="s">
        <v>35</v>
      </c>
      <c r="I34" s="33"/>
      <c r="J34" s="33"/>
      <c r="K34" s="33"/>
      <c r="L34" s="33" t="s">
        <v>20</v>
      </c>
      <c r="M34" s="33"/>
      <c r="N34" s="34"/>
      <c r="O34" s="35"/>
      <c r="P34" s="35"/>
      <c r="Q34" s="35"/>
      <c r="R34" s="35"/>
      <c r="S34" s="35"/>
      <c r="T34" s="36">
        <v>1</v>
      </c>
      <c r="U34" s="34"/>
      <c r="V34" s="35"/>
      <c r="W34" s="35"/>
      <c r="X34" s="35"/>
      <c r="Y34" s="35"/>
      <c r="Z34" s="35"/>
      <c r="AA34" s="36"/>
      <c r="AB34" s="34"/>
      <c r="AC34" s="35"/>
      <c r="AD34" s="35"/>
      <c r="AE34" s="35"/>
      <c r="AF34" s="35"/>
      <c r="AG34" s="35"/>
      <c r="AH34" s="37"/>
      <c r="AJ34" s="101"/>
    </row>
    <row r="35" spans="1:36" ht="19.5" customHeight="1" x14ac:dyDescent="0.2">
      <c r="A35" s="96">
        <v>29</v>
      </c>
      <c r="B35" s="96"/>
      <c r="C35" s="96"/>
      <c r="D35" s="96"/>
      <c r="E35" s="96"/>
      <c r="F35" s="20" t="s">
        <v>61</v>
      </c>
      <c r="G35" s="29"/>
      <c r="H35" s="90"/>
      <c r="I35" s="90"/>
      <c r="J35" s="90"/>
      <c r="K35" s="90"/>
      <c r="L35" s="90"/>
      <c r="M35" s="90"/>
      <c r="N35" s="21"/>
      <c r="T35" s="94">
        <v>2</v>
      </c>
      <c r="U35" s="21"/>
      <c r="AB35" s="21"/>
      <c r="AH35" s="7"/>
      <c r="AJ35" s="101"/>
    </row>
    <row r="36" spans="1:36" ht="20.25" customHeight="1" thickBot="1" x14ac:dyDescent="0.25">
      <c r="A36" s="23">
        <v>30</v>
      </c>
      <c r="B36" s="23"/>
      <c r="C36" s="23"/>
      <c r="D36" s="23"/>
      <c r="E36" s="23"/>
      <c r="F36" s="71" t="s">
        <v>62</v>
      </c>
      <c r="G36" s="24"/>
      <c r="H36" s="25"/>
      <c r="I36" s="25"/>
      <c r="J36" s="25"/>
      <c r="K36" s="25"/>
      <c r="L36" s="25"/>
      <c r="M36" s="25"/>
      <c r="N36" s="26"/>
      <c r="O36" s="27"/>
      <c r="P36" s="27"/>
      <c r="Q36" s="27"/>
      <c r="R36" s="27"/>
      <c r="S36" s="27"/>
      <c r="T36" s="3">
        <v>2</v>
      </c>
      <c r="U36" s="26"/>
      <c r="V36" s="27"/>
      <c r="W36" s="27"/>
      <c r="X36" s="27"/>
      <c r="Y36" s="27"/>
      <c r="Z36" s="27"/>
      <c r="AA36" s="3"/>
      <c r="AB36" s="26"/>
      <c r="AC36" s="27"/>
      <c r="AD36" s="27"/>
      <c r="AE36" s="27"/>
      <c r="AF36" s="27"/>
      <c r="AG36" s="27"/>
      <c r="AH36" s="28"/>
      <c r="AJ36" s="101"/>
    </row>
    <row r="37" spans="1:36" ht="19.5" customHeight="1" thickTop="1" x14ac:dyDescent="0.5">
      <c r="A37" s="95">
        <v>31</v>
      </c>
      <c r="B37" s="95"/>
      <c r="C37" s="95"/>
      <c r="D37" s="95"/>
      <c r="E37" s="95"/>
      <c r="F37" s="40" t="s">
        <v>63</v>
      </c>
      <c r="G37" s="11" t="s">
        <v>36</v>
      </c>
      <c r="H37" s="89"/>
      <c r="I37" s="89"/>
      <c r="J37" s="89"/>
      <c r="K37" s="89"/>
      <c r="L37" s="89" t="s">
        <v>20</v>
      </c>
      <c r="M37" s="89"/>
      <c r="N37" s="91"/>
      <c r="O37" s="12"/>
      <c r="P37" s="12"/>
      <c r="Q37" s="12"/>
      <c r="R37" s="12"/>
      <c r="S37" s="12"/>
      <c r="T37" s="92">
        <v>1</v>
      </c>
      <c r="U37" s="91"/>
      <c r="V37" s="12"/>
      <c r="W37" s="12"/>
      <c r="X37" s="12"/>
      <c r="Y37" s="12"/>
      <c r="Z37" s="12"/>
      <c r="AA37" s="92"/>
      <c r="AB37" s="99"/>
      <c r="AC37" s="12"/>
      <c r="AD37" s="12"/>
      <c r="AE37" s="12"/>
      <c r="AF37" s="12"/>
      <c r="AG37" s="12"/>
      <c r="AH37" s="100"/>
      <c r="AJ37" s="101"/>
    </row>
    <row r="38" spans="1:36" ht="19.5" customHeight="1" x14ac:dyDescent="0.2">
      <c r="A38" s="96">
        <v>32</v>
      </c>
      <c r="B38" s="96"/>
      <c r="C38" s="96"/>
      <c r="D38" s="96"/>
      <c r="E38" s="96"/>
      <c r="F38" s="45" t="s">
        <v>64</v>
      </c>
      <c r="G38" s="14"/>
      <c r="H38" s="15"/>
      <c r="I38" s="15"/>
      <c r="J38" s="15"/>
      <c r="K38" s="15"/>
      <c r="L38" s="15"/>
      <c r="M38" s="15"/>
      <c r="N38" s="16"/>
      <c r="O38" s="17"/>
      <c r="P38" s="17"/>
      <c r="Q38" s="17"/>
      <c r="R38" s="17"/>
      <c r="S38" s="17"/>
      <c r="T38" s="18">
        <v>2</v>
      </c>
      <c r="U38" s="16"/>
      <c r="V38" s="17"/>
      <c r="W38" s="17"/>
      <c r="X38" s="17"/>
      <c r="Y38" s="17"/>
      <c r="Z38" s="17"/>
      <c r="AA38" s="18"/>
      <c r="AB38" s="16"/>
      <c r="AC38" s="17"/>
      <c r="AD38" s="17"/>
      <c r="AE38" s="17"/>
      <c r="AF38" s="17"/>
      <c r="AG38" s="17"/>
      <c r="AH38" s="19"/>
      <c r="AJ38" s="101"/>
    </row>
    <row r="39" spans="1:36" ht="19.5" customHeight="1" x14ac:dyDescent="0.5">
      <c r="A39" s="96">
        <v>33</v>
      </c>
      <c r="B39" s="96"/>
      <c r="C39" s="96"/>
      <c r="D39" s="96"/>
      <c r="E39" s="96"/>
      <c r="F39" s="46" t="s">
        <v>65</v>
      </c>
      <c r="G39" s="96"/>
      <c r="H39" s="90"/>
      <c r="I39" s="90"/>
      <c r="J39" s="90"/>
      <c r="K39" s="90"/>
      <c r="L39" s="90"/>
      <c r="M39" s="90"/>
      <c r="N39" s="21"/>
      <c r="T39" s="94">
        <v>2</v>
      </c>
      <c r="U39" s="21"/>
      <c r="AB39" s="21"/>
      <c r="AH39" s="7"/>
      <c r="AJ39" s="101"/>
    </row>
    <row r="40" spans="1:36" ht="19.5" customHeight="1" x14ac:dyDescent="0.2">
      <c r="A40" s="96">
        <v>34</v>
      </c>
      <c r="B40" s="96"/>
      <c r="C40" s="96"/>
      <c r="D40" s="96"/>
      <c r="E40" s="96"/>
      <c r="F40" s="45" t="s">
        <v>66</v>
      </c>
      <c r="G40" s="96"/>
      <c r="H40" s="90"/>
      <c r="I40" s="90"/>
      <c r="J40" s="90"/>
      <c r="K40" s="90"/>
      <c r="L40" s="90"/>
      <c r="M40" s="90"/>
      <c r="N40" s="21"/>
      <c r="T40" s="94">
        <v>1</v>
      </c>
      <c r="U40" s="21"/>
      <c r="AB40" s="21"/>
      <c r="AH40" s="7"/>
      <c r="AJ40" s="101"/>
    </row>
    <row r="41" spans="1:36" ht="20.25" customHeight="1" thickBot="1" x14ac:dyDescent="0.25">
      <c r="A41" s="23">
        <v>35</v>
      </c>
      <c r="B41" s="23"/>
      <c r="C41" s="23"/>
      <c r="D41" s="23"/>
      <c r="E41" s="23"/>
      <c r="F41" s="80" t="s">
        <v>67</v>
      </c>
      <c r="G41" s="23"/>
      <c r="H41" s="25"/>
      <c r="I41" s="25"/>
      <c r="J41" s="25"/>
      <c r="K41" s="25"/>
      <c r="L41" s="25"/>
      <c r="M41" s="25"/>
      <c r="N41" s="26"/>
      <c r="O41" s="27"/>
      <c r="P41" s="27"/>
      <c r="Q41" s="27"/>
      <c r="R41" s="27"/>
      <c r="S41" s="27"/>
      <c r="T41" s="3">
        <v>1</v>
      </c>
      <c r="U41" s="26"/>
      <c r="V41" s="27"/>
      <c r="W41" s="27"/>
      <c r="X41" s="27"/>
      <c r="Y41" s="27"/>
      <c r="Z41" s="27"/>
      <c r="AA41" s="3"/>
      <c r="AB41" s="26"/>
      <c r="AC41" s="27"/>
      <c r="AD41" s="27"/>
      <c r="AE41" s="27"/>
      <c r="AF41" s="27"/>
      <c r="AG41" s="27"/>
      <c r="AH41" s="28"/>
      <c r="AJ41" s="101"/>
    </row>
    <row r="42" spans="1:36" ht="19.5" customHeight="1" thickTop="1" x14ac:dyDescent="0.5">
      <c r="A42" s="96">
        <v>36</v>
      </c>
      <c r="B42" s="96"/>
      <c r="C42" s="96"/>
      <c r="D42" s="96"/>
      <c r="E42" s="96"/>
      <c r="F42" s="59" t="s">
        <v>68</v>
      </c>
      <c r="G42" s="57" t="s">
        <v>37</v>
      </c>
      <c r="H42" s="58"/>
      <c r="I42" s="90"/>
      <c r="J42" s="90"/>
      <c r="K42" s="90"/>
      <c r="L42" s="102" t="s">
        <v>20</v>
      </c>
      <c r="M42" s="90"/>
      <c r="N42" s="21"/>
      <c r="T42" s="94">
        <v>1</v>
      </c>
      <c r="U42" s="21"/>
      <c r="AB42" s="21"/>
      <c r="AH42" s="7"/>
      <c r="AJ42" s="101"/>
    </row>
    <row r="43" spans="1:36" ht="23.25" customHeight="1" x14ac:dyDescent="0.2">
      <c r="A43" s="96">
        <v>37</v>
      </c>
      <c r="B43" s="96"/>
      <c r="C43" s="96"/>
      <c r="D43" s="96"/>
      <c r="E43" s="96"/>
      <c r="F43" s="20" t="s">
        <v>69</v>
      </c>
      <c r="G43" s="60" t="s">
        <v>38</v>
      </c>
      <c r="H43" s="32" t="s">
        <v>39</v>
      </c>
      <c r="I43" s="33"/>
      <c r="J43" s="33"/>
      <c r="K43" s="33"/>
      <c r="L43" s="33" t="s">
        <v>20</v>
      </c>
      <c r="M43" s="33"/>
      <c r="N43" s="34"/>
      <c r="O43" s="35"/>
      <c r="P43" s="35"/>
      <c r="Q43" s="35"/>
      <c r="R43" s="35"/>
      <c r="S43" s="35"/>
      <c r="T43" s="36">
        <v>1</v>
      </c>
      <c r="U43" s="34"/>
      <c r="V43" s="35"/>
      <c r="W43" s="35"/>
      <c r="X43" s="35"/>
      <c r="Y43" s="35"/>
      <c r="Z43" s="35"/>
      <c r="AA43" s="36"/>
      <c r="AB43" s="34"/>
      <c r="AC43" s="35"/>
      <c r="AD43" s="35"/>
      <c r="AE43" s="35"/>
      <c r="AF43" s="35"/>
      <c r="AG43" s="35"/>
      <c r="AH43" s="37"/>
      <c r="AJ43" s="101"/>
    </row>
    <row r="44" spans="1:36" ht="19.5" customHeight="1" x14ac:dyDescent="0.5">
      <c r="A44" s="96">
        <v>38</v>
      </c>
      <c r="B44" s="96"/>
      <c r="C44" s="96"/>
      <c r="D44" s="96"/>
      <c r="E44" s="96"/>
      <c r="F44" s="61" t="s">
        <v>70</v>
      </c>
      <c r="G44" s="96"/>
      <c r="H44" s="7"/>
      <c r="I44" s="90"/>
      <c r="J44" s="90"/>
      <c r="K44" s="90"/>
      <c r="L44" s="90"/>
      <c r="M44" s="90"/>
      <c r="N44" s="21"/>
      <c r="T44" s="94">
        <v>1</v>
      </c>
      <c r="U44" s="21"/>
      <c r="AB44" s="21"/>
      <c r="AH44" s="7"/>
      <c r="AJ44" s="101"/>
    </row>
    <row r="45" spans="1:36" ht="19.5" customHeight="1" x14ac:dyDescent="0.2">
      <c r="A45" s="96">
        <v>39</v>
      </c>
      <c r="B45" s="96"/>
      <c r="C45" s="96"/>
      <c r="D45" s="96"/>
      <c r="E45" s="96"/>
      <c r="F45" s="20" t="s">
        <v>71</v>
      </c>
      <c r="G45" s="96"/>
      <c r="H45" s="7"/>
      <c r="I45" s="90"/>
      <c r="J45" s="90"/>
      <c r="K45" s="90"/>
      <c r="L45" s="90"/>
      <c r="M45" s="90"/>
      <c r="N45" s="21"/>
      <c r="T45" s="94">
        <v>1</v>
      </c>
      <c r="U45" s="21"/>
      <c r="AB45" s="21"/>
      <c r="AH45" s="7"/>
      <c r="AJ45" s="101"/>
    </row>
    <row r="46" spans="1:36" ht="20.25" customHeight="1" thickBot="1" x14ac:dyDescent="0.25">
      <c r="A46" s="23">
        <v>40</v>
      </c>
      <c r="B46" s="23"/>
      <c r="C46" s="23"/>
      <c r="D46" s="23"/>
      <c r="E46" s="23"/>
      <c r="F46" s="71" t="s">
        <v>72</v>
      </c>
      <c r="G46" s="23"/>
      <c r="H46" s="28"/>
      <c r="I46" s="25"/>
      <c r="J46" s="25"/>
      <c r="K46" s="25"/>
      <c r="L46" s="25"/>
      <c r="M46" s="25"/>
      <c r="N46" s="26"/>
      <c r="O46" s="27"/>
      <c r="P46" s="27"/>
      <c r="Q46" s="27"/>
      <c r="R46" s="27"/>
      <c r="S46" s="27"/>
      <c r="T46" s="3">
        <v>1</v>
      </c>
      <c r="U46" s="26"/>
      <c r="V46" s="27"/>
      <c r="W46" s="27"/>
      <c r="X46" s="27"/>
      <c r="Y46" s="27"/>
      <c r="Z46" s="27"/>
      <c r="AA46" s="3"/>
      <c r="AB46" s="26"/>
      <c r="AC46" s="27"/>
      <c r="AD46" s="27"/>
      <c r="AE46" s="27"/>
      <c r="AF46" s="27"/>
      <c r="AG46" s="27"/>
      <c r="AH46" s="28"/>
      <c r="AJ46" s="101"/>
    </row>
    <row r="47" spans="1:36" ht="19.5" customHeight="1" thickTop="1" x14ac:dyDescent="0.5">
      <c r="A47" s="95">
        <v>41</v>
      </c>
      <c r="B47" s="95"/>
      <c r="C47" s="95"/>
      <c r="D47" s="95"/>
      <c r="E47" s="95"/>
      <c r="F47" s="11" t="s">
        <v>73</v>
      </c>
      <c r="G47" s="11" t="s">
        <v>40</v>
      </c>
      <c r="H47" s="93"/>
      <c r="I47" s="89"/>
      <c r="J47" s="89"/>
      <c r="K47" s="89"/>
      <c r="L47" s="89" t="s">
        <v>20</v>
      </c>
      <c r="M47" s="89"/>
      <c r="N47" s="91"/>
      <c r="O47" s="12"/>
      <c r="P47" s="12"/>
      <c r="Q47" s="12"/>
      <c r="R47" s="12"/>
      <c r="S47" s="12"/>
      <c r="T47" s="92">
        <v>1</v>
      </c>
      <c r="U47" s="91"/>
      <c r="V47" s="12"/>
      <c r="W47" s="12"/>
      <c r="X47" s="12"/>
      <c r="Y47" s="12"/>
      <c r="Z47" s="12"/>
      <c r="AA47" s="92"/>
      <c r="AB47" s="99"/>
      <c r="AC47" s="12"/>
      <c r="AD47" s="12"/>
      <c r="AE47" s="12"/>
      <c r="AF47" s="12"/>
      <c r="AG47" s="12"/>
      <c r="AH47" s="100"/>
      <c r="AJ47" s="101"/>
    </row>
    <row r="48" spans="1:36" ht="19.5" customHeight="1" x14ac:dyDescent="0.2">
      <c r="A48" s="96">
        <v>42</v>
      </c>
      <c r="B48" s="96"/>
      <c r="C48" s="96"/>
      <c r="D48" s="96"/>
      <c r="E48" s="96"/>
      <c r="F48" s="20" t="s">
        <v>74</v>
      </c>
      <c r="G48" s="62" t="s">
        <v>41</v>
      </c>
      <c r="H48" s="37"/>
      <c r="I48" s="33"/>
      <c r="J48" s="33"/>
      <c r="K48" s="33"/>
      <c r="L48" s="33" t="s">
        <v>20</v>
      </c>
      <c r="M48" s="33"/>
      <c r="N48" s="34"/>
      <c r="O48" s="35"/>
      <c r="P48" s="35"/>
      <c r="Q48" s="35"/>
      <c r="R48" s="35"/>
      <c r="S48" s="35"/>
      <c r="T48" s="36">
        <v>1</v>
      </c>
      <c r="U48" s="34"/>
      <c r="V48" s="35"/>
      <c r="W48" s="35"/>
      <c r="X48" s="35"/>
      <c r="Y48" s="35"/>
      <c r="Z48" s="35"/>
      <c r="AA48" s="36"/>
      <c r="AB48" s="34"/>
      <c r="AC48" s="35"/>
      <c r="AD48" s="35"/>
      <c r="AE48" s="35"/>
      <c r="AF48" s="35"/>
      <c r="AG48" s="35"/>
      <c r="AH48" s="37"/>
      <c r="AJ48" s="101"/>
    </row>
    <row r="49" spans="1:36" ht="19.5" customHeight="1" x14ac:dyDescent="0.2">
      <c r="A49" s="96">
        <v>43</v>
      </c>
      <c r="B49" s="96"/>
      <c r="C49" s="96"/>
      <c r="D49" s="96"/>
      <c r="E49" s="96"/>
      <c r="F49" s="63" t="s">
        <v>75</v>
      </c>
      <c r="G49" s="64"/>
      <c r="H49" s="7"/>
      <c r="I49" s="90"/>
      <c r="J49" s="90"/>
      <c r="K49" s="90"/>
      <c r="L49" s="90"/>
      <c r="M49" s="90"/>
      <c r="N49" s="21"/>
      <c r="T49" s="94">
        <v>1</v>
      </c>
      <c r="U49" s="21"/>
      <c r="AB49" s="21"/>
      <c r="AH49" s="7"/>
      <c r="AJ49" s="101"/>
    </row>
    <row r="50" spans="1:36" ht="19.5" customHeight="1" x14ac:dyDescent="0.5">
      <c r="A50" s="96">
        <v>44</v>
      </c>
      <c r="B50" s="96"/>
      <c r="C50" s="96"/>
      <c r="D50" s="96"/>
      <c r="E50" s="96"/>
      <c r="F50" s="30" t="s">
        <v>76</v>
      </c>
      <c r="G50" s="96"/>
      <c r="H50" s="7"/>
      <c r="I50" s="90"/>
      <c r="J50" s="90"/>
      <c r="K50" s="90"/>
      <c r="L50" s="90"/>
      <c r="M50" s="90"/>
      <c r="N50" s="21"/>
      <c r="T50" s="94">
        <v>1</v>
      </c>
      <c r="U50" s="21"/>
      <c r="X50" s="22">
        <v>1</v>
      </c>
      <c r="AB50" s="21"/>
      <c r="AH50" s="7"/>
      <c r="AJ50" s="101"/>
    </row>
    <row r="51" spans="1:36" ht="20.25" customHeight="1" thickBot="1" x14ac:dyDescent="0.25">
      <c r="A51" s="23">
        <v>45</v>
      </c>
      <c r="B51" s="23"/>
      <c r="C51" s="23"/>
      <c r="D51" s="23"/>
      <c r="E51" s="23"/>
      <c r="F51" s="71" t="s">
        <v>77</v>
      </c>
      <c r="G51" s="23"/>
      <c r="H51" s="28"/>
      <c r="I51" s="25"/>
      <c r="J51" s="25"/>
      <c r="K51" s="25"/>
      <c r="L51" s="25"/>
      <c r="M51" s="25"/>
      <c r="N51" s="26"/>
      <c r="O51" s="27"/>
      <c r="P51" s="27"/>
      <c r="Q51" s="27"/>
      <c r="R51" s="27"/>
      <c r="S51" s="27"/>
      <c r="T51" s="3">
        <v>1</v>
      </c>
      <c r="U51" s="26"/>
      <c r="V51" s="27"/>
      <c r="W51" s="27"/>
      <c r="X51" s="27">
        <v>1</v>
      </c>
      <c r="Y51" s="27"/>
      <c r="Z51" s="27"/>
      <c r="AA51" s="3"/>
      <c r="AB51" s="26"/>
      <c r="AC51" s="27"/>
      <c r="AD51" s="27"/>
      <c r="AE51" s="27"/>
      <c r="AF51" s="27"/>
      <c r="AG51" s="27"/>
      <c r="AH51" s="28"/>
      <c r="AJ51" s="101"/>
    </row>
    <row r="52" spans="1:36" ht="19.5" customHeight="1" thickTop="1" x14ac:dyDescent="0.5">
      <c r="A52" s="96">
        <v>46</v>
      </c>
      <c r="B52" s="96"/>
      <c r="C52" s="96"/>
      <c r="D52" s="96"/>
      <c r="E52" s="96"/>
      <c r="F52" s="65" t="s">
        <v>78</v>
      </c>
      <c r="G52" s="57" t="s">
        <v>42</v>
      </c>
      <c r="H52" s="7"/>
      <c r="I52" s="90"/>
      <c r="J52" s="90"/>
      <c r="K52" s="90"/>
      <c r="L52" s="90" t="s">
        <v>20</v>
      </c>
      <c r="M52" s="90"/>
      <c r="N52" s="21"/>
      <c r="T52" s="94">
        <v>1</v>
      </c>
      <c r="U52" s="21"/>
      <c r="AB52" s="21"/>
      <c r="AH52" s="7"/>
      <c r="AJ52" s="101"/>
    </row>
    <row r="53" spans="1:36" ht="19.5" customHeight="1" x14ac:dyDescent="0.5">
      <c r="A53" s="96">
        <v>47</v>
      </c>
      <c r="B53" s="96"/>
      <c r="C53" s="96"/>
      <c r="D53" s="96"/>
      <c r="E53" s="96"/>
      <c r="F53" s="65" t="s">
        <v>79</v>
      </c>
      <c r="G53" s="66" t="s">
        <v>43</v>
      </c>
      <c r="H53" s="37"/>
      <c r="I53" s="33"/>
      <c r="J53" s="33"/>
      <c r="K53" s="33"/>
      <c r="L53" s="33" t="s">
        <v>20</v>
      </c>
      <c r="M53" s="33"/>
      <c r="N53" s="34"/>
      <c r="O53" s="35"/>
      <c r="P53" s="35"/>
      <c r="Q53" s="35"/>
      <c r="R53" s="35"/>
      <c r="S53" s="35"/>
      <c r="T53" s="36">
        <v>1</v>
      </c>
      <c r="U53" s="34"/>
      <c r="V53" s="35"/>
      <c r="W53" s="35"/>
      <c r="X53" s="35"/>
      <c r="Y53" s="35"/>
      <c r="Z53" s="35"/>
      <c r="AA53" s="36"/>
      <c r="AB53" s="34"/>
      <c r="AC53" s="35"/>
      <c r="AD53" s="35"/>
      <c r="AE53" s="35"/>
      <c r="AF53" s="35"/>
      <c r="AG53" s="35"/>
      <c r="AH53" s="37"/>
      <c r="AJ53" s="101"/>
    </row>
    <row r="54" spans="1:36" ht="19.5" customHeight="1" x14ac:dyDescent="0.2">
      <c r="A54" s="96">
        <v>48</v>
      </c>
      <c r="B54" s="96"/>
      <c r="C54" s="96"/>
      <c r="D54" s="96"/>
      <c r="E54" s="67"/>
      <c r="F54" s="38" t="s">
        <v>80</v>
      </c>
      <c r="G54" s="96"/>
      <c r="H54" s="7"/>
      <c r="I54" s="90"/>
      <c r="J54" s="90"/>
      <c r="K54" s="90"/>
      <c r="L54" s="90"/>
      <c r="M54" s="90"/>
      <c r="N54" s="21"/>
      <c r="T54" s="94">
        <v>1</v>
      </c>
      <c r="U54" s="21"/>
      <c r="X54" s="22">
        <v>4</v>
      </c>
      <c r="AB54" s="21"/>
      <c r="AH54" s="7"/>
      <c r="AJ54" s="101"/>
    </row>
    <row r="55" spans="1:36" ht="19.5" customHeight="1" thickBot="1" x14ac:dyDescent="0.55000000000000004">
      <c r="A55" s="96">
        <v>49</v>
      </c>
      <c r="B55" s="96"/>
      <c r="C55" s="96"/>
      <c r="D55" s="96"/>
      <c r="E55" s="96"/>
      <c r="F55" s="61" t="s">
        <v>81</v>
      </c>
      <c r="G55" s="96"/>
      <c r="H55" s="7"/>
      <c r="I55" s="90"/>
      <c r="J55" s="90"/>
      <c r="K55" s="90"/>
      <c r="L55" s="90"/>
      <c r="M55" s="90"/>
      <c r="N55" s="21">
        <v>1</v>
      </c>
      <c r="U55" s="21">
        <v>2</v>
      </c>
      <c r="AB55" s="21"/>
      <c r="AH55" s="7"/>
      <c r="AJ55" s="101"/>
    </row>
    <row r="56" spans="1:36" ht="19.5" customHeight="1" thickTop="1" x14ac:dyDescent="0.5">
      <c r="A56" s="95">
        <v>50</v>
      </c>
      <c r="B56" s="95"/>
      <c r="C56" s="95"/>
      <c r="D56" s="95"/>
      <c r="E56" s="95"/>
      <c r="F56" s="68" t="s">
        <v>82</v>
      </c>
      <c r="G56" s="11" t="s">
        <v>44</v>
      </c>
      <c r="H56" s="93"/>
      <c r="I56" s="89"/>
      <c r="J56" s="89"/>
      <c r="K56" s="89"/>
      <c r="L56" s="89"/>
      <c r="M56" s="89" t="s">
        <v>20</v>
      </c>
      <c r="N56" s="91"/>
      <c r="O56" s="12"/>
      <c r="P56" s="12"/>
      <c r="Q56" s="12"/>
      <c r="R56" s="12"/>
      <c r="S56" s="12"/>
      <c r="T56" s="92"/>
      <c r="U56" s="91"/>
      <c r="V56" s="12"/>
      <c r="W56" s="12"/>
      <c r="X56" s="12"/>
      <c r="Y56" s="12"/>
      <c r="Z56" s="12"/>
      <c r="AA56" s="92"/>
      <c r="AB56" s="99"/>
      <c r="AC56" s="12"/>
      <c r="AD56" s="12"/>
      <c r="AE56" s="12"/>
      <c r="AF56" s="12"/>
      <c r="AG56" s="12"/>
      <c r="AH56" s="100"/>
      <c r="AJ56" s="101"/>
    </row>
    <row r="57" spans="1:36" ht="19.5" customHeight="1" x14ac:dyDescent="0.5">
      <c r="A57" s="96">
        <v>51</v>
      </c>
      <c r="B57" s="96"/>
      <c r="C57" s="96"/>
      <c r="D57" s="96"/>
      <c r="E57" s="96"/>
      <c r="F57" s="65" t="s">
        <v>83</v>
      </c>
      <c r="G57" s="69"/>
      <c r="H57" s="19"/>
      <c r="I57" s="15"/>
      <c r="J57" s="15"/>
      <c r="K57" s="15"/>
      <c r="L57" s="15"/>
      <c r="M57" s="15"/>
      <c r="N57" s="16">
        <v>1</v>
      </c>
      <c r="O57" s="17"/>
      <c r="P57" s="17"/>
      <c r="Q57" s="17"/>
      <c r="R57" s="17"/>
      <c r="S57" s="17"/>
      <c r="T57" s="18"/>
      <c r="U57" s="16"/>
      <c r="V57" s="17"/>
      <c r="W57" s="17"/>
      <c r="X57" s="17"/>
      <c r="Y57" s="17"/>
      <c r="Z57" s="17"/>
      <c r="AA57" s="18"/>
      <c r="AB57" s="16"/>
      <c r="AC57" s="17"/>
      <c r="AD57" s="17"/>
      <c r="AE57" s="17"/>
      <c r="AF57" s="17"/>
      <c r="AG57" s="17"/>
      <c r="AH57" s="19"/>
      <c r="AJ57" s="101"/>
    </row>
    <row r="58" spans="1:36" ht="19.5" customHeight="1" x14ac:dyDescent="0.5">
      <c r="A58" s="96">
        <v>52</v>
      </c>
      <c r="B58" s="96"/>
      <c r="C58" s="96"/>
      <c r="D58" s="96"/>
      <c r="E58" s="96"/>
      <c r="F58" s="65" t="s">
        <v>84</v>
      </c>
      <c r="G58" s="20"/>
      <c r="H58" s="7"/>
      <c r="I58" s="90"/>
      <c r="J58" s="90"/>
      <c r="K58" s="90"/>
      <c r="L58" s="90"/>
      <c r="M58" s="90"/>
      <c r="N58" s="21">
        <v>1</v>
      </c>
      <c r="U58" s="21"/>
      <c r="AB58" s="21"/>
      <c r="AH58" s="7"/>
      <c r="AJ58" s="101"/>
    </row>
    <row r="59" spans="1:36" ht="19.5" customHeight="1" x14ac:dyDescent="0.5">
      <c r="A59" s="96">
        <v>53</v>
      </c>
      <c r="B59" s="96"/>
      <c r="C59" s="96"/>
      <c r="D59" s="96"/>
      <c r="E59" s="96"/>
      <c r="F59" s="65" t="s">
        <v>85</v>
      </c>
      <c r="G59" s="20"/>
      <c r="H59" s="58"/>
      <c r="I59" s="90"/>
      <c r="J59" s="90"/>
      <c r="K59" s="90"/>
      <c r="L59" s="90"/>
      <c r="M59" s="90"/>
      <c r="N59" s="21">
        <v>1</v>
      </c>
      <c r="U59" s="21"/>
      <c r="AB59" s="21"/>
      <c r="AH59" s="7"/>
      <c r="AJ59" s="101"/>
    </row>
    <row r="60" spans="1:36" ht="20.25" customHeight="1" thickBot="1" x14ac:dyDescent="0.55000000000000004">
      <c r="A60" s="23">
        <v>54</v>
      </c>
      <c r="B60" s="23"/>
      <c r="C60" s="23"/>
      <c r="D60" s="23"/>
      <c r="E60" s="23"/>
      <c r="F60" s="70" t="s">
        <v>86</v>
      </c>
      <c r="G60" s="71"/>
      <c r="H60" s="72" t="s">
        <v>45</v>
      </c>
      <c r="I60" s="25"/>
      <c r="J60" s="25"/>
      <c r="K60" s="25"/>
      <c r="L60" s="25"/>
      <c r="M60" s="25"/>
      <c r="N60" s="26">
        <v>1</v>
      </c>
      <c r="O60" s="27"/>
      <c r="P60" s="27"/>
      <c r="Q60" s="27"/>
      <c r="R60" s="27"/>
      <c r="S60" s="27"/>
      <c r="T60" s="3"/>
      <c r="U60" s="26"/>
      <c r="V60" s="27"/>
      <c r="W60" s="27"/>
      <c r="X60" s="27"/>
      <c r="Y60" s="27"/>
      <c r="Z60" s="27"/>
      <c r="AA60" s="3"/>
      <c r="AB60" s="26"/>
      <c r="AC60" s="27"/>
      <c r="AD60" s="27"/>
      <c r="AE60" s="27"/>
      <c r="AF60" s="27"/>
      <c r="AG60" s="27"/>
      <c r="AH60" s="28"/>
      <c r="AJ60" s="101"/>
    </row>
    <row r="61" spans="1:36" ht="19.5" customHeight="1" thickTop="1" x14ac:dyDescent="0.2">
      <c r="A61" s="96">
        <v>55</v>
      </c>
      <c r="B61" s="96"/>
      <c r="C61" s="96"/>
      <c r="D61" s="96"/>
      <c r="E61" s="96"/>
      <c r="F61" s="64" t="s">
        <v>87</v>
      </c>
      <c r="G61" s="73" t="s">
        <v>46</v>
      </c>
      <c r="H61" s="7"/>
      <c r="I61" s="90"/>
      <c r="J61" s="90"/>
      <c r="K61" s="90"/>
      <c r="L61" s="90"/>
      <c r="M61" s="90"/>
      <c r="N61" s="21">
        <v>1</v>
      </c>
      <c r="U61" s="21"/>
      <c r="AB61" s="21"/>
      <c r="AH61" s="7"/>
      <c r="AJ61" s="101"/>
    </row>
    <row r="62" spans="1:36" ht="19.5" customHeight="1" x14ac:dyDescent="0.2">
      <c r="A62" s="82">
        <v>56</v>
      </c>
      <c r="B62" s="74"/>
      <c r="C62" s="74"/>
      <c r="D62" s="74"/>
      <c r="E62" s="75"/>
      <c r="F62" s="64" t="s">
        <v>88</v>
      </c>
      <c r="G62" s="76" t="s">
        <v>47</v>
      </c>
      <c r="H62" s="90"/>
      <c r="I62" s="90"/>
      <c r="J62" s="33"/>
      <c r="K62" s="33"/>
      <c r="L62" s="33"/>
      <c r="M62" s="33"/>
      <c r="N62" s="34">
        <v>1</v>
      </c>
      <c r="O62" s="35"/>
      <c r="P62" s="35"/>
      <c r="Q62" s="35"/>
      <c r="R62" s="35"/>
      <c r="S62" s="35"/>
      <c r="T62" s="36"/>
      <c r="U62" s="34"/>
      <c r="V62" s="35"/>
      <c r="W62" s="35"/>
      <c r="X62" s="35"/>
      <c r="Y62" s="35"/>
      <c r="Z62" s="35"/>
      <c r="AA62" s="36"/>
      <c r="AB62" s="34"/>
      <c r="AC62" s="35"/>
      <c r="AD62" s="35"/>
      <c r="AE62" s="35"/>
      <c r="AF62" s="35"/>
      <c r="AG62" s="35"/>
      <c r="AH62" s="37"/>
      <c r="AJ62" s="101"/>
    </row>
    <row r="63" spans="1:36" ht="20.25" customHeight="1" thickBot="1" x14ac:dyDescent="0.55000000000000004">
      <c r="A63" s="84">
        <v>57</v>
      </c>
      <c r="B63" s="77"/>
      <c r="C63" s="77"/>
      <c r="D63" s="77"/>
      <c r="E63" s="77"/>
      <c r="F63" s="83" t="s">
        <v>89</v>
      </c>
      <c r="G63" s="78"/>
      <c r="H63" s="25"/>
      <c r="I63" s="25"/>
      <c r="J63" s="25"/>
      <c r="K63" s="25"/>
      <c r="L63" s="25"/>
      <c r="M63" s="25"/>
      <c r="N63" s="26">
        <v>1</v>
      </c>
      <c r="O63" s="27"/>
      <c r="P63" s="27"/>
      <c r="Q63" s="27"/>
      <c r="R63" s="27"/>
      <c r="S63" s="27"/>
      <c r="T63" s="3"/>
      <c r="U63" s="26"/>
      <c r="V63" s="27"/>
      <c r="W63" s="27"/>
      <c r="X63" s="27"/>
      <c r="Y63" s="27"/>
      <c r="Z63" s="27"/>
      <c r="AA63" s="3"/>
      <c r="AB63" s="26"/>
      <c r="AC63" s="27"/>
      <c r="AD63" s="27"/>
      <c r="AE63" s="27"/>
      <c r="AF63" s="27"/>
      <c r="AG63" s="27"/>
      <c r="AH63" s="28"/>
      <c r="AJ63" s="101"/>
    </row>
    <row r="64" spans="1:36" ht="19.5" customHeight="1" thickTop="1" x14ac:dyDescent="0.2">
      <c r="A64" s="82">
        <v>58</v>
      </c>
      <c r="B64" s="82"/>
      <c r="C64" s="82"/>
      <c r="D64" s="82"/>
      <c r="E64" s="82"/>
      <c r="F64" s="86" t="s">
        <v>90</v>
      </c>
      <c r="G64" s="73" t="s">
        <v>48</v>
      </c>
      <c r="H64" s="7"/>
      <c r="I64" s="90"/>
      <c r="J64" s="90"/>
      <c r="K64" s="90"/>
      <c r="L64" s="90"/>
      <c r="M64" s="90"/>
      <c r="N64" s="21">
        <v>5</v>
      </c>
      <c r="U64" s="21">
        <v>3</v>
      </c>
      <c r="V64" s="22">
        <v>4</v>
      </c>
      <c r="Y64" s="22">
        <v>1</v>
      </c>
      <c r="AB64" s="21"/>
      <c r="AH64" s="7"/>
      <c r="AJ64" s="101"/>
    </row>
    <row r="65" spans="1:38" ht="19.5" customHeight="1" x14ac:dyDescent="0.2">
      <c r="A65" s="82">
        <v>59</v>
      </c>
      <c r="B65" s="82"/>
      <c r="C65" s="82"/>
      <c r="D65" s="82"/>
      <c r="E65" s="87"/>
      <c r="F65" s="86" t="s">
        <v>91</v>
      </c>
      <c r="G65" s="76"/>
      <c r="H65" s="90"/>
      <c r="I65" s="90"/>
      <c r="J65" s="33"/>
      <c r="K65" s="33"/>
      <c r="L65" s="33"/>
      <c r="M65" s="33"/>
      <c r="N65" s="34">
        <v>1</v>
      </c>
      <c r="O65" s="35"/>
      <c r="P65" s="35"/>
      <c r="Q65" s="35"/>
      <c r="R65" s="35"/>
      <c r="S65" s="35"/>
      <c r="T65" s="36"/>
      <c r="U65" s="34"/>
      <c r="V65" s="35"/>
      <c r="W65" s="35"/>
      <c r="X65" s="35"/>
      <c r="Y65" s="35"/>
      <c r="Z65" s="35"/>
      <c r="AA65" s="36"/>
      <c r="AB65" s="34"/>
      <c r="AC65" s="35"/>
      <c r="AD65" s="35"/>
      <c r="AE65" s="35"/>
      <c r="AF65" s="35"/>
      <c r="AG65" s="35"/>
      <c r="AH65" s="37"/>
      <c r="AJ65" s="101"/>
    </row>
    <row r="66" spans="1:38" ht="19.5" customHeight="1" x14ac:dyDescent="0.2">
      <c r="A66" s="82">
        <v>60</v>
      </c>
      <c r="B66" s="82"/>
      <c r="C66" s="82"/>
      <c r="D66" s="82"/>
      <c r="E66" s="82"/>
      <c r="F66" s="85" t="s">
        <v>92</v>
      </c>
      <c r="G66" s="104"/>
      <c r="H66" s="90"/>
      <c r="I66" s="90"/>
      <c r="J66" s="90"/>
      <c r="K66" s="90"/>
      <c r="L66" s="90"/>
      <c r="M66" s="90"/>
      <c r="N66" s="21">
        <v>3</v>
      </c>
      <c r="U66" s="21"/>
      <c r="AB66" s="21"/>
      <c r="AH66" s="7"/>
      <c r="AJ66" s="101"/>
    </row>
    <row r="67" spans="1:38" ht="19.5" customHeight="1" x14ac:dyDescent="0.2">
      <c r="A67" s="82">
        <v>61</v>
      </c>
      <c r="B67" s="82"/>
      <c r="C67" s="82"/>
      <c r="D67" s="82"/>
      <c r="E67" s="82"/>
      <c r="F67" s="86" t="s">
        <v>93</v>
      </c>
      <c r="G67" s="64"/>
      <c r="H67" s="90"/>
      <c r="I67" s="90"/>
      <c r="J67" s="90"/>
      <c r="K67" s="90"/>
      <c r="L67" s="90"/>
      <c r="M67" s="90"/>
      <c r="N67" s="21">
        <v>3</v>
      </c>
      <c r="U67" s="21"/>
      <c r="AB67" s="21"/>
      <c r="AH67" s="7"/>
      <c r="AJ67" s="101"/>
    </row>
    <row r="68" spans="1:38" ht="22.5" thickBot="1" x14ac:dyDescent="0.55000000000000004">
      <c r="A68" s="84">
        <v>62</v>
      </c>
      <c r="B68" s="84"/>
      <c r="C68" s="84"/>
      <c r="D68" s="84"/>
      <c r="E68" s="84"/>
      <c r="F68" s="83" t="s">
        <v>94</v>
      </c>
      <c r="G68" s="78"/>
      <c r="H68" s="25"/>
      <c r="I68" s="25"/>
      <c r="J68" s="25"/>
      <c r="K68" s="25"/>
      <c r="L68" s="25"/>
      <c r="M68" s="25"/>
      <c r="N68" s="26">
        <v>2</v>
      </c>
      <c r="O68" s="27">
        <v>4</v>
      </c>
      <c r="P68" s="27"/>
      <c r="Q68" s="27"/>
      <c r="R68" s="27"/>
      <c r="S68" s="27"/>
      <c r="T68" s="3"/>
      <c r="U68" s="26"/>
      <c r="V68" s="27"/>
      <c r="W68" s="27"/>
      <c r="X68" s="27"/>
      <c r="Y68" s="27"/>
      <c r="Z68" s="27">
        <v>2</v>
      </c>
      <c r="AA68" s="3"/>
      <c r="AB68" s="26"/>
      <c r="AC68" s="27"/>
      <c r="AD68" s="27"/>
      <c r="AE68" s="27"/>
      <c r="AF68" s="27"/>
      <c r="AG68" s="27"/>
      <c r="AH68" s="28"/>
      <c r="AJ68" s="101"/>
    </row>
    <row r="69" spans="1:38" ht="19.5" customHeight="1" thickTop="1" x14ac:dyDescent="0.2">
      <c r="A69" s="82">
        <v>63</v>
      </c>
      <c r="B69" s="82"/>
      <c r="C69" s="82"/>
      <c r="D69" s="82"/>
      <c r="E69" s="82"/>
      <c r="F69" s="86" t="s">
        <v>95</v>
      </c>
      <c r="G69" s="73" t="s">
        <v>48</v>
      </c>
      <c r="H69" s="7"/>
      <c r="I69" s="90"/>
      <c r="J69" s="90"/>
      <c r="K69" s="90"/>
      <c r="L69" s="90"/>
      <c r="M69" s="90"/>
      <c r="N69" s="21">
        <v>2</v>
      </c>
      <c r="U69" s="21"/>
      <c r="AB69" s="21"/>
      <c r="AH69" s="7"/>
      <c r="AJ69" s="101"/>
    </row>
    <row r="70" spans="1:38" ht="18.75" customHeight="1" x14ac:dyDescent="0.2">
      <c r="A70" s="82">
        <v>64</v>
      </c>
      <c r="B70" s="82"/>
      <c r="C70" s="82"/>
      <c r="D70" s="82"/>
      <c r="E70" s="87"/>
      <c r="F70" s="86" t="s">
        <v>96</v>
      </c>
      <c r="G70" s="76"/>
      <c r="H70" s="90"/>
      <c r="I70" s="90"/>
      <c r="J70" s="33"/>
      <c r="K70" s="33"/>
      <c r="L70" s="33"/>
      <c r="M70" s="33"/>
      <c r="N70" s="34"/>
      <c r="O70" s="35">
        <v>2</v>
      </c>
      <c r="P70" s="35"/>
      <c r="Q70" s="35"/>
      <c r="R70" s="35"/>
      <c r="S70" s="35"/>
      <c r="T70" s="36"/>
      <c r="U70" s="34"/>
      <c r="V70" s="35"/>
      <c r="W70" s="35"/>
      <c r="X70" s="35"/>
      <c r="Y70" s="35"/>
      <c r="Z70" s="35"/>
      <c r="AA70" s="36"/>
      <c r="AB70" s="34"/>
      <c r="AC70" s="35"/>
      <c r="AD70" s="35"/>
      <c r="AE70" s="35"/>
      <c r="AF70" s="35"/>
      <c r="AG70" s="35"/>
      <c r="AH70" s="37"/>
      <c r="AJ70" s="101"/>
    </row>
    <row r="71" spans="1:38" ht="18.75" customHeight="1" x14ac:dyDescent="0.2">
      <c r="A71" s="82">
        <v>65</v>
      </c>
      <c r="B71" s="82"/>
      <c r="C71" s="82"/>
      <c r="D71" s="82"/>
      <c r="E71" s="82"/>
      <c r="F71" s="85" t="s">
        <v>97</v>
      </c>
      <c r="G71" s="104"/>
      <c r="H71" s="90"/>
      <c r="I71" s="90"/>
      <c r="J71" s="90"/>
      <c r="K71" s="90"/>
      <c r="L71" s="90"/>
      <c r="M71" s="90"/>
      <c r="N71" s="21"/>
      <c r="O71" s="22">
        <v>2</v>
      </c>
      <c r="U71" s="21"/>
      <c r="AB71" s="21"/>
      <c r="AH71" s="7"/>
      <c r="AJ71" s="101"/>
    </row>
    <row r="72" spans="1:38" ht="18.75" customHeight="1" x14ac:dyDescent="0.2">
      <c r="A72" s="82">
        <v>66</v>
      </c>
      <c r="B72" s="82"/>
      <c r="C72" s="82"/>
      <c r="D72" s="82"/>
      <c r="E72" s="82"/>
      <c r="F72" s="86" t="s">
        <v>98</v>
      </c>
      <c r="G72" s="64"/>
      <c r="H72" s="90"/>
      <c r="I72" s="90"/>
      <c r="J72" s="90"/>
      <c r="K72" s="90"/>
      <c r="L72" s="90"/>
      <c r="M72" s="90"/>
      <c r="N72" s="21"/>
      <c r="O72" s="22">
        <v>2</v>
      </c>
      <c r="U72" s="21"/>
      <c r="AB72" s="21"/>
      <c r="AH72" s="7"/>
      <c r="AJ72" s="101"/>
    </row>
    <row r="73" spans="1:38" ht="19.5" customHeight="1" thickBot="1" x14ac:dyDescent="0.55000000000000004">
      <c r="A73" s="84">
        <v>67</v>
      </c>
      <c r="B73" s="84"/>
      <c r="C73" s="84"/>
      <c r="D73" s="84"/>
      <c r="E73" s="84"/>
      <c r="F73" s="83" t="s">
        <v>99</v>
      </c>
      <c r="G73" s="78"/>
      <c r="H73" s="25"/>
      <c r="I73" s="25"/>
      <c r="J73" s="25"/>
      <c r="K73" s="25"/>
      <c r="L73" s="25"/>
      <c r="M73" s="25"/>
      <c r="N73" s="26"/>
      <c r="O73" s="27">
        <v>3</v>
      </c>
      <c r="P73" s="27"/>
      <c r="Q73" s="27"/>
      <c r="R73" s="27"/>
      <c r="S73" s="27"/>
      <c r="T73" s="3"/>
      <c r="U73" s="26"/>
      <c r="V73" s="27"/>
      <c r="W73" s="27"/>
      <c r="X73" s="27"/>
      <c r="Y73" s="27"/>
      <c r="Z73" s="27"/>
      <c r="AA73" s="3"/>
      <c r="AB73" s="26"/>
      <c r="AC73" s="27"/>
      <c r="AD73" s="27"/>
      <c r="AE73" s="27"/>
      <c r="AF73" s="27"/>
      <c r="AG73" s="27"/>
      <c r="AH73" s="28"/>
      <c r="AJ73" s="101"/>
    </row>
    <row r="74" spans="1:38" ht="19.5" customHeight="1" thickTop="1" x14ac:dyDescent="0.2">
      <c r="A74" s="82">
        <v>68</v>
      </c>
      <c r="B74" s="82"/>
      <c r="C74" s="82"/>
      <c r="D74" s="82"/>
      <c r="E74" s="82"/>
      <c r="F74" s="86" t="s">
        <v>100</v>
      </c>
      <c r="G74" s="73" t="s">
        <v>48</v>
      </c>
      <c r="H74" s="7"/>
      <c r="I74" s="90"/>
      <c r="J74" s="90"/>
      <c r="K74" s="90"/>
      <c r="L74" s="90"/>
      <c r="M74" s="90"/>
      <c r="N74" s="21"/>
      <c r="O74" s="22">
        <v>3</v>
      </c>
      <c r="U74" s="21"/>
      <c r="AB74" s="21"/>
      <c r="AH74" s="7"/>
      <c r="AJ74" s="101"/>
      <c r="AL74" s="108"/>
    </row>
    <row r="75" spans="1:38" ht="18.75" customHeight="1" x14ac:dyDescent="0.2">
      <c r="A75" s="82">
        <v>69</v>
      </c>
      <c r="B75" s="82"/>
      <c r="C75" s="82"/>
      <c r="D75" s="82"/>
      <c r="E75" s="87"/>
      <c r="F75" s="86" t="s">
        <v>101</v>
      </c>
      <c r="G75" s="76"/>
      <c r="H75" s="90"/>
      <c r="I75" s="90"/>
      <c r="J75" s="33"/>
      <c r="K75" s="33"/>
      <c r="L75" s="33"/>
      <c r="M75" s="33"/>
      <c r="N75" s="34"/>
      <c r="O75" s="35">
        <v>2</v>
      </c>
      <c r="P75" s="35"/>
      <c r="Q75" s="35"/>
      <c r="R75" s="35"/>
      <c r="S75" s="35"/>
      <c r="T75" s="36"/>
      <c r="U75" s="34">
        <v>3</v>
      </c>
      <c r="V75" s="35"/>
      <c r="W75" s="35"/>
      <c r="X75" s="35"/>
      <c r="Y75" s="35"/>
      <c r="Z75" s="35"/>
      <c r="AA75" s="36"/>
      <c r="AB75" s="34"/>
      <c r="AC75" s="35"/>
      <c r="AD75" s="35"/>
      <c r="AE75" s="35"/>
      <c r="AF75" s="35"/>
      <c r="AG75" s="35"/>
      <c r="AH75" s="37"/>
      <c r="AJ75" s="101"/>
      <c r="AL75" s="108"/>
    </row>
    <row r="76" spans="1:38" ht="18.75" customHeight="1" x14ac:dyDescent="0.2">
      <c r="A76" s="82">
        <v>70</v>
      </c>
      <c r="B76" s="82"/>
      <c r="C76" s="82"/>
      <c r="D76" s="82"/>
      <c r="E76" s="82"/>
      <c r="F76" s="85" t="s">
        <v>102</v>
      </c>
      <c r="G76" s="104"/>
      <c r="H76" s="90"/>
      <c r="I76" s="90"/>
      <c r="J76" s="90"/>
      <c r="K76" s="90"/>
      <c r="L76" s="90"/>
      <c r="M76" s="90"/>
      <c r="N76" s="21"/>
      <c r="O76" s="22">
        <v>2</v>
      </c>
      <c r="U76" s="21"/>
      <c r="AB76" s="21"/>
      <c r="AH76" s="7"/>
      <c r="AJ76" s="101"/>
      <c r="AL76" s="108"/>
    </row>
    <row r="77" spans="1:38" ht="18.75" customHeight="1" x14ac:dyDescent="0.2">
      <c r="A77" s="82">
        <v>71</v>
      </c>
      <c r="B77" s="82"/>
      <c r="C77" s="82"/>
      <c r="D77" s="82"/>
      <c r="E77" s="82"/>
      <c r="F77" s="86" t="s">
        <v>103</v>
      </c>
      <c r="G77" s="64"/>
      <c r="H77" s="90"/>
      <c r="I77" s="90"/>
      <c r="J77" s="90"/>
      <c r="K77" s="90"/>
      <c r="L77" s="90"/>
      <c r="M77" s="90"/>
      <c r="N77" s="21"/>
      <c r="O77" s="22">
        <v>2</v>
      </c>
      <c r="U77" s="21"/>
      <c r="V77" s="22">
        <v>2</v>
      </c>
      <c r="AB77" s="21"/>
      <c r="AC77" s="22">
        <v>2</v>
      </c>
      <c r="AH77" s="7"/>
      <c r="AJ77" s="101"/>
      <c r="AL77" s="108"/>
    </row>
    <row r="78" spans="1:38" ht="19.5" customHeight="1" thickBot="1" x14ac:dyDescent="0.55000000000000004">
      <c r="A78" s="84">
        <v>72</v>
      </c>
      <c r="B78" s="84"/>
      <c r="C78" s="84"/>
      <c r="D78" s="84"/>
      <c r="E78" s="84"/>
      <c r="F78" s="83" t="s">
        <v>104</v>
      </c>
      <c r="G78" s="78"/>
      <c r="H78" s="25"/>
      <c r="I78" s="25"/>
      <c r="J78" s="25"/>
      <c r="K78" s="25"/>
      <c r="L78" s="25"/>
      <c r="M78" s="25"/>
      <c r="N78" s="26"/>
      <c r="O78" s="27">
        <v>2</v>
      </c>
      <c r="P78" s="27"/>
      <c r="Q78" s="27"/>
      <c r="R78" s="27"/>
      <c r="S78" s="27"/>
      <c r="T78" s="3"/>
      <c r="U78" s="26"/>
      <c r="V78" s="27"/>
      <c r="W78" s="27"/>
      <c r="X78" s="27"/>
      <c r="Y78" s="27"/>
      <c r="Z78" s="27"/>
      <c r="AA78" s="3"/>
      <c r="AB78" s="26"/>
      <c r="AC78" s="27"/>
      <c r="AD78" s="27"/>
      <c r="AE78" s="27"/>
      <c r="AF78" s="27"/>
      <c r="AG78" s="27"/>
      <c r="AH78" s="28"/>
      <c r="AJ78" s="101"/>
      <c r="AL78" s="108"/>
    </row>
    <row r="79" spans="1:38" ht="19.5" customHeight="1" thickTop="1" x14ac:dyDescent="0.2">
      <c r="A79" s="82">
        <v>73</v>
      </c>
      <c r="B79" s="82"/>
      <c r="C79" s="82"/>
      <c r="D79" s="82"/>
      <c r="E79" s="82"/>
      <c r="F79" s="86" t="s">
        <v>105</v>
      </c>
      <c r="G79" s="73" t="s">
        <v>48</v>
      </c>
      <c r="H79" s="7"/>
      <c r="I79" s="90"/>
      <c r="J79" s="90"/>
      <c r="K79" s="90"/>
      <c r="L79" s="90"/>
      <c r="M79" s="90"/>
      <c r="N79" s="21"/>
      <c r="O79" s="22">
        <v>2</v>
      </c>
      <c r="U79" s="21"/>
      <c r="AB79" s="21"/>
      <c r="AH79" s="7"/>
      <c r="AJ79" s="101"/>
      <c r="AL79" s="108"/>
    </row>
    <row r="80" spans="1:38" ht="18.75" customHeight="1" x14ac:dyDescent="0.2">
      <c r="A80" s="82">
        <v>74</v>
      </c>
      <c r="B80" s="82"/>
      <c r="C80" s="82"/>
      <c r="D80" s="82"/>
      <c r="E80" s="87"/>
      <c r="F80" s="86" t="s">
        <v>106</v>
      </c>
      <c r="G80" s="76"/>
      <c r="H80" s="90"/>
      <c r="I80" s="90"/>
      <c r="J80" s="33"/>
      <c r="K80" s="33"/>
      <c r="L80" s="33"/>
      <c r="M80" s="33"/>
      <c r="N80" s="34"/>
      <c r="O80" s="35">
        <v>2</v>
      </c>
      <c r="P80" s="35"/>
      <c r="Q80" s="35"/>
      <c r="R80" s="35"/>
      <c r="S80" s="35"/>
      <c r="T80" s="36"/>
      <c r="U80" s="34"/>
      <c r="V80" s="35"/>
      <c r="W80" s="35"/>
      <c r="X80" s="35"/>
      <c r="Y80" s="35"/>
      <c r="Z80" s="35"/>
      <c r="AA80" s="36"/>
      <c r="AB80" s="34"/>
      <c r="AC80" s="35"/>
      <c r="AD80" s="35"/>
      <c r="AE80" s="35"/>
      <c r="AF80" s="35"/>
      <c r="AG80" s="35"/>
      <c r="AH80" s="37"/>
      <c r="AJ80" s="101"/>
      <c r="AL80" s="108"/>
    </row>
    <row r="81" spans="1:39" ht="18.75" customHeight="1" x14ac:dyDescent="0.2">
      <c r="A81" s="82">
        <v>75</v>
      </c>
      <c r="B81" s="82"/>
      <c r="C81" s="82"/>
      <c r="D81" s="82"/>
      <c r="E81" s="82"/>
      <c r="F81" s="85" t="s">
        <v>107</v>
      </c>
      <c r="G81" s="104"/>
      <c r="H81" s="90"/>
      <c r="I81" s="90"/>
      <c r="J81" s="90"/>
      <c r="K81" s="90"/>
      <c r="L81" s="90"/>
      <c r="M81" s="90"/>
      <c r="N81" s="21"/>
      <c r="O81" s="22">
        <v>3</v>
      </c>
      <c r="U81" s="21"/>
      <c r="AB81" s="21"/>
      <c r="AH81" s="7"/>
      <c r="AJ81" s="101"/>
      <c r="AL81" s="108"/>
    </row>
    <row r="82" spans="1:39" s="94" customFormat="1" ht="18.75" customHeight="1" x14ac:dyDescent="0.2">
      <c r="A82" s="82">
        <v>76</v>
      </c>
      <c r="B82" s="82"/>
      <c r="C82" s="82"/>
      <c r="D82" s="82"/>
      <c r="E82" s="82"/>
      <c r="F82" s="86" t="s">
        <v>108</v>
      </c>
      <c r="G82" s="64"/>
      <c r="H82" s="90"/>
      <c r="I82" s="90"/>
      <c r="J82" s="90"/>
      <c r="K82" s="90"/>
      <c r="L82" s="90"/>
      <c r="M82" s="90"/>
      <c r="N82" s="21"/>
      <c r="O82" s="22">
        <v>2</v>
      </c>
      <c r="P82" s="22"/>
      <c r="Q82" s="22"/>
      <c r="R82" s="22"/>
      <c r="S82" s="22"/>
      <c r="U82" s="21"/>
      <c r="V82" s="22"/>
      <c r="W82" s="22"/>
      <c r="X82" s="22"/>
      <c r="Y82" s="22">
        <v>1</v>
      </c>
      <c r="Z82" s="22"/>
      <c r="AB82" s="21"/>
      <c r="AC82" s="22">
        <v>1</v>
      </c>
      <c r="AD82" s="22"/>
      <c r="AE82" s="22"/>
      <c r="AF82" s="22"/>
      <c r="AG82" s="22"/>
      <c r="AH82" s="7"/>
      <c r="AI82" s="1"/>
      <c r="AJ82" s="101"/>
      <c r="AL82" s="108"/>
    </row>
    <row r="83" spans="1:39" s="94" customFormat="1" ht="19.5" customHeight="1" thickBot="1" x14ac:dyDescent="0.55000000000000004">
      <c r="A83" s="84">
        <v>77</v>
      </c>
      <c r="B83" s="84"/>
      <c r="C83" s="84"/>
      <c r="D83" s="84"/>
      <c r="E83" s="84"/>
      <c r="F83" s="83" t="s">
        <v>275</v>
      </c>
      <c r="G83" s="78"/>
      <c r="H83" s="25"/>
      <c r="I83" s="25"/>
      <c r="J83" s="25"/>
      <c r="K83" s="25"/>
      <c r="L83" s="25"/>
      <c r="M83" s="25"/>
      <c r="N83" s="26"/>
      <c r="O83" s="27">
        <v>2</v>
      </c>
      <c r="P83" s="27"/>
      <c r="Q83" s="27"/>
      <c r="R83" s="27"/>
      <c r="S83" s="27"/>
      <c r="T83" s="3"/>
      <c r="U83" s="26"/>
      <c r="V83" s="27"/>
      <c r="W83" s="27"/>
      <c r="X83" s="27"/>
      <c r="Y83" s="27"/>
      <c r="Z83" s="27"/>
      <c r="AA83" s="3"/>
      <c r="AB83" s="26"/>
      <c r="AC83" s="27"/>
      <c r="AD83" s="27"/>
      <c r="AE83" s="27"/>
      <c r="AF83" s="27"/>
      <c r="AG83" s="27"/>
      <c r="AH83" s="28"/>
      <c r="AI83" s="1"/>
      <c r="AJ83" s="101"/>
      <c r="AK83" s="113"/>
      <c r="AL83" s="113"/>
      <c r="AM83" s="113"/>
    </row>
    <row r="84" spans="1:39" s="94" customFormat="1" ht="19.5" customHeight="1" thickTop="1" x14ac:dyDescent="0.2">
      <c r="A84" s="82">
        <v>78</v>
      </c>
      <c r="B84" s="82"/>
      <c r="C84" s="82"/>
      <c r="D84" s="82"/>
      <c r="E84" s="82"/>
      <c r="F84" s="86" t="s">
        <v>109</v>
      </c>
      <c r="G84" s="73" t="s">
        <v>48</v>
      </c>
      <c r="H84" s="7"/>
      <c r="I84" s="90"/>
      <c r="J84" s="90"/>
      <c r="K84" s="90"/>
      <c r="L84" s="90"/>
      <c r="M84" s="90"/>
      <c r="N84" s="21"/>
      <c r="O84" s="22">
        <v>2</v>
      </c>
      <c r="P84" s="22"/>
      <c r="Q84" s="22"/>
      <c r="R84" s="22"/>
      <c r="S84" s="22"/>
      <c r="U84" s="21"/>
      <c r="V84" s="22"/>
      <c r="W84" s="22"/>
      <c r="X84" s="22"/>
      <c r="Y84" s="22"/>
      <c r="Z84" s="22"/>
      <c r="AB84" s="21"/>
      <c r="AC84" s="22"/>
      <c r="AD84" s="22"/>
      <c r="AE84" s="22"/>
      <c r="AF84" s="22"/>
      <c r="AG84" s="22"/>
      <c r="AH84" s="7"/>
      <c r="AI84" s="1"/>
      <c r="AJ84" s="101"/>
      <c r="AK84" s="113"/>
      <c r="AL84" s="113"/>
      <c r="AM84" s="113"/>
    </row>
    <row r="85" spans="1:39" s="94" customFormat="1" ht="18.75" customHeight="1" x14ac:dyDescent="0.2">
      <c r="A85" s="82">
        <v>79</v>
      </c>
      <c r="B85" s="82"/>
      <c r="C85" s="82"/>
      <c r="D85" s="82"/>
      <c r="E85" s="87"/>
      <c r="F85" s="86" t="s">
        <v>111</v>
      </c>
      <c r="G85" s="76"/>
      <c r="H85" s="90"/>
      <c r="I85" s="90"/>
      <c r="J85" s="33"/>
      <c r="K85" s="33"/>
      <c r="L85" s="33"/>
      <c r="M85" s="33"/>
      <c r="N85" s="34"/>
      <c r="O85" s="35"/>
      <c r="P85" s="35"/>
      <c r="Q85" s="35"/>
      <c r="R85" s="35"/>
      <c r="S85" s="35"/>
      <c r="T85" s="36"/>
      <c r="U85" s="34"/>
      <c r="V85" s="35"/>
      <c r="W85" s="35"/>
      <c r="X85" s="35"/>
      <c r="Y85" s="35"/>
      <c r="Z85" s="35"/>
      <c r="AA85" s="36"/>
      <c r="AB85" s="34"/>
      <c r="AC85" s="35"/>
      <c r="AD85" s="35"/>
      <c r="AE85" s="35"/>
      <c r="AF85" s="35"/>
      <c r="AG85" s="35"/>
      <c r="AH85" s="37"/>
      <c r="AI85" s="1"/>
      <c r="AJ85" s="101"/>
      <c r="AK85" s="113"/>
      <c r="AL85" s="113"/>
      <c r="AM85" s="113"/>
    </row>
    <row r="86" spans="1:39" s="94" customFormat="1" ht="18.75" customHeight="1" x14ac:dyDescent="0.2">
      <c r="A86" s="82">
        <v>80</v>
      </c>
      <c r="B86" s="74"/>
      <c r="C86" s="74"/>
      <c r="D86" s="74"/>
      <c r="E86" s="74"/>
      <c r="F86" s="85" t="s">
        <v>113</v>
      </c>
      <c r="G86" s="104"/>
      <c r="H86" s="90"/>
      <c r="I86" s="90"/>
      <c r="J86" s="90"/>
      <c r="K86" s="90"/>
      <c r="L86" s="90"/>
      <c r="M86" s="90"/>
      <c r="N86" s="21"/>
      <c r="O86" s="22"/>
      <c r="P86" s="22"/>
      <c r="Q86" s="22"/>
      <c r="R86" s="22"/>
      <c r="S86" s="22"/>
      <c r="U86" s="21"/>
      <c r="V86" s="22"/>
      <c r="W86" s="22"/>
      <c r="X86" s="22"/>
      <c r="Y86" s="22"/>
      <c r="Z86" s="22"/>
      <c r="AB86" s="21"/>
      <c r="AC86" s="22"/>
      <c r="AD86" s="22"/>
      <c r="AE86" s="22"/>
      <c r="AF86" s="22"/>
      <c r="AG86" s="22"/>
      <c r="AH86" s="7"/>
      <c r="AI86" s="1"/>
      <c r="AJ86" s="101"/>
      <c r="AK86" s="113"/>
      <c r="AL86" s="113"/>
      <c r="AM86" s="113"/>
    </row>
    <row r="87" spans="1:39" s="94" customFormat="1" ht="18.75" customHeight="1" x14ac:dyDescent="0.2">
      <c r="A87" s="82">
        <v>81</v>
      </c>
      <c r="B87" s="74"/>
      <c r="C87" s="74"/>
      <c r="D87" s="74"/>
      <c r="E87" s="74"/>
      <c r="F87" s="64" t="s">
        <v>114</v>
      </c>
      <c r="G87" s="64"/>
      <c r="H87" s="90"/>
      <c r="I87" s="90"/>
      <c r="J87" s="90"/>
      <c r="K87" s="90"/>
      <c r="L87" s="90"/>
      <c r="M87" s="90"/>
      <c r="N87" s="21"/>
      <c r="O87" s="22"/>
      <c r="P87" s="22"/>
      <c r="Q87" s="22"/>
      <c r="R87" s="22"/>
      <c r="S87" s="22"/>
      <c r="U87" s="21"/>
      <c r="V87" s="22"/>
      <c r="W87" s="22"/>
      <c r="X87" s="22"/>
      <c r="Y87" s="22">
        <v>5</v>
      </c>
      <c r="Z87" s="22"/>
      <c r="AB87" s="21"/>
      <c r="AC87" s="22"/>
      <c r="AD87" s="22"/>
      <c r="AE87" s="22"/>
      <c r="AF87" s="22"/>
      <c r="AG87" s="22"/>
      <c r="AH87" s="7"/>
      <c r="AI87" s="1"/>
      <c r="AJ87" s="101"/>
      <c r="AK87" s="113"/>
      <c r="AL87" s="113"/>
      <c r="AM87" s="113"/>
    </row>
    <row r="88" spans="1:39" s="94" customFormat="1" ht="19.5" customHeight="1" thickBot="1" x14ac:dyDescent="0.55000000000000004">
      <c r="A88" s="84">
        <v>82</v>
      </c>
      <c r="B88" s="77"/>
      <c r="C88" s="77"/>
      <c r="D88" s="77"/>
      <c r="E88" s="77"/>
      <c r="F88" s="83" t="s">
        <v>115</v>
      </c>
      <c r="G88" s="78"/>
      <c r="H88" s="25"/>
      <c r="I88" s="25"/>
      <c r="J88" s="25"/>
      <c r="K88" s="25"/>
      <c r="L88" s="25"/>
      <c r="M88" s="25"/>
      <c r="N88" s="26"/>
      <c r="O88" s="27"/>
      <c r="P88" s="27"/>
      <c r="Q88" s="27"/>
      <c r="R88" s="27"/>
      <c r="S88" s="27"/>
      <c r="T88" s="3"/>
      <c r="U88" s="26"/>
      <c r="V88" s="27"/>
      <c r="W88" s="27"/>
      <c r="X88" s="27"/>
      <c r="Y88" s="27"/>
      <c r="Z88" s="27"/>
      <c r="AA88" s="3"/>
      <c r="AB88" s="26"/>
      <c r="AC88" s="27"/>
      <c r="AD88" s="27"/>
      <c r="AE88" s="27"/>
      <c r="AF88" s="27"/>
      <c r="AG88" s="27"/>
      <c r="AH88" s="28"/>
      <c r="AI88" s="1"/>
      <c r="AJ88" s="101"/>
      <c r="AK88" s="113"/>
      <c r="AL88" s="113"/>
      <c r="AM88" s="113"/>
    </row>
    <row r="89" spans="1:39" s="94" customFormat="1" ht="18.75" customHeight="1" thickTop="1" x14ac:dyDescent="0.2">
      <c r="A89" s="82">
        <v>83</v>
      </c>
      <c r="B89" s="82"/>
      <c r="C89" s="82"/>
      <c r="D89" s="82"/>
      <c r="E89" s="82"/>
      <c r="F89" s="86" t="s">
        <v>116</v>
      </c>
      <c r="G89" s="73" t="s">
        <v>48</v>
      </c>
      <c r="H89" s="7"/>
      <c r="I89" s="90"/>
      <c r="J89" s="90"/>
      <c r="K89" s="90"/>
      <c r="L89" s="90"/>
      <c r="M89" s="90"/>
      <c r="N89" s="21"/>
      <c r="O89" s="22"/>
      <c r="P89" s="22"/>
      <c r="Q89" s="22"/>
      <c r="R89" s="22"/>
      <c r="S89" s="22"/>
      <c r="U89" s="21"/>
      <c r="V89" s="22"/>
      <c r="W89" s="22"/>
      <c r="X89" s="22"/>
      <c r="Y89" s="22"/>
      <c r="Z89" s="22"/>
      <c r="AB89" s="21"/>
      <c r="AC89" s="22"/>
      <c r="AD89" s="22"/>
      <c r="AE89" s="22"/>
      <c r="AF89" s="22"/>
      <c r="AG89" s="22"/>
      <c r="AH89" s="7"/>
      <c r="AI89" s="1"/>
      <c r="AJ89" s="101"/>
    </row>
    <row r="90" spans="1:39" s="94" customFormat="1" ht="18.75" customHeight="1" x14ac:dyDescent="0.2">
      <c r="A90" s="82">
        <v>84</v>
      </c>
      <c r="B90" s="82"/>
      <c r="C90" s="82"/>
      <c r="D90" s="82"/>
      <c r="E90" s="87"/>
      <c r="F90" s="86" t="s">
        <v>117</v>
      </c>
      <c r="G90" s="76"/>
      <c r="H90" s="90"/>
      <c r="I90" s="90"/>
      <c r="J90" s="33"/>
      <c r="K90" s="33"/>
      <c r="L90" s="33"/>
      <c r="M90" s="33"/>
      <c r="N90" s="34"/>
      <c r="O90" s="35"/>
      <c r="P90" s="35"/>
      <c r="Q90" s="35"/>
      <c r="R90" s="35"/>
      <c r="S90" s="35"/>
      <c r="T90" s="36"/>
      <c r="U90" s="34"/>
      <c r="V90" s="35"/>
      <c r="W90" s="35"/>
      <c r="X90" s="35"/>
      <c r="Y90" s="35"/>
      <c r="Z90" s="35"/>
      <c r="AA90" s="36"/>
      <c r="AB90" s="34"/>
      <c r="AC90" s="35"/>
      <c r="AD90" s="35"/>
      <c r="AE90" s="35"/>
      <c r="AF90" s="35"/>
      <c r="AG90" s="35"/>
      <c r="AH90" s="37"/>
      <c r="AI90" s="1"/>
      <c r="AJ90" s="101"/>
    </row>
    <row r="91" spans="1:39" ht="18.75" customHeight="1" x14ac:dyDescent="0.2">
      <c r="A91" s="82">
        <v>85</v>
      </c>
      <c r="B91" s="74"/>
      <c r="C91" s="74"/>
      <c r="D91" s="74"/>
      <c r="E91" s="74"/>
      <c r="F91" s="85" t="s">
        <v>118</v>
      </c>
      <c r="G91" s="104"/>
      <c r="H91" s="90"/>
      <c r="I91" s="90"/>
      <c r="J91" s="90"/>
      <c r="K91" s="90"/>
      <c r="L91" s="90"/>
      <c r="M91" s="90"/>
      <c r="N91" s="21"/>
      <c r="U91" s="21"/>
      <c r="AB91" s="21"/>
      <c r="AH91" s="7"/>
      <c r="AJ91" s="101"/>
    </row>
    <row r="92" spans="1:39" ht="18.75" customHeight="1" x14ac:dyDescent="0.2">
      <c r="A92" s="82">
        <v>86</v>
      </c>
      <c r="B92" s="82"/>
      <c r="C92" s="82"/>
      <c r="D92" s="82"/>
      <c r="E92" s="82"/>
      <c r="F92" s="86" t="s">
        <v>119</v>
      </c>
      <c r="G92" s="64"/>
      <c r="H92" s="90"/>
      <c r="I92" s="90"/>
      <c r="J92" s="90"/>
      <c r="K92" s="90"/>
      <c r="L92" s="90"/>
      <c r="M92" s="90"/>
      <c r="N92" s="21"/>
      <c r="U92" s="21"/>
      <c r="AB92" s="21"/>
      <c r="AH92" s="7"/>
      <c r="AJ92" s="101"/>
    </row>
    <row r="93" spans="1:39" ht="19.5" customHeight="1" thickBot="1" x14ac:dyDescent="0.55000000000000004">
      <c r="A93" s="84">
        <v>87</v>
      </c>
      <c r="B93" s="84"/>
      <c r="C93" s="84"/>
      <c r="D93" s="84"/>
      <c r="E93" s="84"/>
      <c r="F93" s="83" t="s">
        <v>120</v>
      </c>
      <c r="G93" s="78"/>
      <c r="H93" s="25"/>
      <c r="I93" s="25"/>
      <c r="J93" s="25"/>
      <c r="K93" s="25"/>
      <c r="L93" s="25"/>
      <c r="M93" s="25"/>
      <c r="N93" s="26"/>
      <c r="O93" s="27"/>
      <c r="P93" s="27"/>
      <c r="Q93" s="27"/>
      <c r="R93" s="27"/>
      <c r="S93" s="27"/>
      <c r="T93" s="3"/>
      <c r="U93" s="26"/>
      <c r="V93" s="27"/>
      <c r="W93" s="27"/>
      <c r="X93" s="27"/>
      <c r="Y93" s="27"/>
      <c r="Z93" s="27"/>
      <c r="AA93" s="3"/>
      <c r="AB93" s="26"/>
      <c r="AC93" s="27"/>
      <c r="AD93" s="27"/>
      <c r="AE93" s="27"/>
      <c r="AF93" s="27"/>
      <c r="AG93" s="27"/>
      <c r="AH93" s="28"/>
      <c r="AJ93" s="101"/>
    </row>
    <row r="94" spans="1:39" ht="18.75" customHeight="1" thickTop="1" x14ac:dyDescent="0.2">
      <c r="A94" s="82">
        <v>88</v>
      </c>
      <c r="B94" s="82"/>
      <c r="C94" s="82"/>
      <c r="D94" s="82"/>
      <c r="E94" s="82"/>
      <c r="F94" s="86" t="s">
        <v>121</v>
      </c>
      <c r="G94" s="73" t="s">
        <v>48</v>
      </c>
      <c r="H94" s="7"/>
      <c r="I94" s="90"/>
      <c r="J94" s="90"/>
      <c r="K94" s="90"/>
      <c r="L94" s="90"/>
      <c r="M94" s="90"/>
      <c r="N94" s="21"/>
      <c r="U94" s="21"/>
      <c r="AB94" s="21"/>
      <c r="AH94" s="7"/>
      <c r="AJ94" s="101"/>
    </row>
    <row r="95" spans="1:39" ht="18.75" customHeight="1" x14ac:dyDescent="0.2">
      <c r="A95" s="82">
        <v>89</v>
      </c>
      <c r="B95" s="82"/>
      <c r="C95" s="82"/>
      <c r="D95" s="82"/>
      <c r="E95" s="87"/>
      <c r="F95" s="86" t="s">
        <v>124</v>
      </c>
      <c r="G95" s="76"/>
      <c r="H95" s="90"/>
      <c r="I95" s="90"/>
      <c r="J95" s="33"/>
      <c r="K95" s="33"/>
      <c r="L95" s="33"/>
      <c r="M95" s="33"/>
      <c r="N95" s="34"/>
      <c r="O95" s="35"/>
      <c r="P95" s="35"/>
      <c r="Q95" s="35"/>
      <c r="R95" s="35"/>
      <c r="S95" s="35"/>
      <c r="T95" s="36"/>
      <c r="U95" s="34"/>
      <c r="V95" s="35"/>
      <c r="W95" s="35"/>
      <c r="X95" s="35"/>
      <c r="Y95" s="35"/>
      <c r="Z95" s="35"/>
      <c r="AA95" s="36"/>
      <c r="AB95" s="34"/>
      <c r="AC95" s="35"/>
      <c r="AD95" s="35"/>
      <c r="AE95" s="35"/>
      <c r="AF95" s="35"/>
      <c r="AG95" s="35"/>
      <c r="AH95" s="37"/>
      <c r="AJ95" s="101"/>
    </row>
    <row r="96" spans="1:39" ht="18.75" customHeight="1" x14ac:dyDescent="0.2">
      <c r="A96" s="82">
        <v>90</v>
      </c>
      <c r="B96" s="74"/>
      <c r="C96" s="74"/>
      <c r="D96" s="74"/>
      <c r="E96" s="74"/>
      <c r="F96" s="85" t="s">
        <v>122</v>
      </c>
      <c r="G96" s="104"/>
      <c r="H96" s="90"/>
      <c r="I96" s="90"/>
      <c r="J96" s="90"/>
      <c r="K96" s="90"/>
      <c r="L96" s="90"/>
      <c r="M96" s="90"/>
      <c r="N96" s="21"/>
      <c r="U96" s="21"/>
      <c r="AB96" s="21"/>
      <c r="AH96" s="7"/>
      <c r="AJ96" s="101"/>
    </row>
    <row r="97" spans="1:36" ht="18.75" customHeight="1" x14ac:dyDescent="0.2">
      <c r="A97" s="82">
        <v>91</v>
      </c>
      <c r="B97" s="74"/>
      <c r="C97" s="74"/>
      <c r="D97" s="74"/>
      <c r="E97" s="74"/>
      <c r="F97" s="64" t="s">
        <v>123</v>
      </c>
      <c r="G97" s="64"/>
      <c r="H97" s="90"/>
      <c r="I97" s="90"/>
      <c r="J97" s="90"/>
      <c r="K97" s="90"/>
      <c r="L97" s="90"/>
      <c r="M97" s="90"/>
      <c r="N97" s="21"/>
      <c r="U97" s="21"/>
      <c r="AB97" s="21"/>
      <c r="AH97" s="7"/>
      <c r="AJ97" s="101"/>
    </row>
    <row r="98" spans="1:36" ht="19.5" customHeight="1" thickBot="1" x14ac:dyDescent="0.55000000000000004">
      <c r="A98" s="82">
        <v>92</v>
      </c>
      <c r="B98" s="84"/>
      <c r="C98" s="84"/>
      <c r="D98" s="84"/>
      <c r="E98" s="84"/>
      <c r="F98" s="83" t="s">
        <v>125</v>
      </c>
      <c r="G98" s="78"/>
      <c r="H98" s="25"/>
      <c r="I98" s="25"/>
      <c r="J98" s="25"/>
      <c r="K98" s="25"/>
      <c r="L98" s="25"/>
      <c r="M98" s="25"/>
      <c r="N98" s="26"/>
      <c r="O98" s="27"/>
      <c r="P98" s="27"/>
      <c r="Q98" s="27"/>
      <c r="R98" s="27"/>
      <c r="S98" s="27"/>
      <c r="T98" s="3"/>
      <c r="U98" s="26"/>
      <c r="V98" s="27"/>
      <c r="W98" s="27"/>
      <c r="X98" s="27"/>
      <c r="Y98" s="27"/>
      <c r="Z98" s="27"/>
      <c r="AA98" s="3"/>
      <c r="AB98" s="26"/>
      <c r="AC98" s="27"/>
      <c r="AD98" s="27"/>
      <c r="AE98" s="27"/>
      <c r="AF98" s="27"/>
      <c r="AG98" s="27"/>
      <c r="AH98" s="28"/>
      <c r="AJ98" s="101"/>
    </row>
    <row r="99" spans="1:36" ht="18.75" customHeight="1" thickTop="1" x14ac:dyDescent="0.2">
      <c r="A99" s="82">
        <v>93</v>
      </c>
      <c r="B99" s="82"/>
      <c r="C99" s="82"/>
      <c r="D99" s="82"/>
      <c r="E99" s="82"/>
      <c r="F99" s="86" t="s">
        <v>126</v>
      </c>
      <c r="G99" s="73" t="s">
        <v>48</v>
      </c>
      <c r="H99" s="7"/>
      <c r="I99" s="90"/>
      <c r="J99" s="90"/>
      <c r="K99" s="90"/>
      <c r="L99" s="90"/>
      <c r="M99" s="90"/>
      <c r="N99" s="21"/>
      <c r="U99" s="21"/>
      <c r="AB99" s="21"/>
      <c r="AH99" s="7"/>
      <c r="AJ99" s="101"/>
    </row>
    <row r="100" spans="1:36" ht="18.75" customHeight="1" x14ac:dyDescent="0.2">
      <c r="A100" s="82">
        <v>94</v>
      </c>
      <c r="B100" s="82"/>
      <c r="C100" s="82"/>
      <c r="D100" s="82"/>
      <c r="E100" s="87"/>
      <c r="F100" s="86" t="s">
        <v>127</v>
      </c>
      <c r="G100" s="76"/>
      <c r="H100" s="90"/>
      <c r="I100" s="90"/>
      <c r="J100" s="33"/>
      <c r="K100" s="33"/>
      <c r="L100" s="33"/>
      <c r="M100" s="33"/>
      <c r="N100" s="34"/>
      <c r="O100" s="35"/>
      <c r="P100" s="35"/>
      <c r="Q100" s="35"/>
      <c r="R100" s="35"/>
      <c r="S100" s="35"/>
      <c r="T100" s="36"/>
      <c r="U100" s="34"/>
      <c r="V100" s="35"/>
      <c r="W100" s="35"/>
      <c r="X100" s="35"/>
      <c r="Y100" s="35"/>
      <c r="Z100" s="35"/>
      <c r="AA100" s="36"/>
      <c r="AB100" s="34"/>
      <c r="AC100" s="35"/>
      <c r="AD100" s="35"/>
      <c r="AE100" s="35"/>
      <c r="AF100" s="35"/>
      <c r="AG100" s="35"/>
      <c r="AH100" s="37"/>
      <c r="AJ100" s="101"/>
    </row>
    <row r="101" spans="1:36" ht="18.75" customHeight="1" x14ac:dyDescent="0.2">
      <c r="A101" s="82">
        <v>95</v>
      </c>
      <c r="B101" s="74"/>
      <c r="C101" s="74"/>
      <c r="D101" s="74"/>
      <c r="E101" s="74"/>
      <c r="F101" s="85" t="s">
        <v>128</v>
      </c>
      <c r="G101" s="104"/>
      <c r="H101" s="90"/>
      <c r="I101" s="90"/>
      <c r="J101" s="90"/>
      <c r="K101" s="90"/>
      <c r="L101" s="90"/>
      <c r="M101" s="90"/>
      <c r="N101" s="21"/>
      <c r="U101" s="21"/>
      <c r="AB101" s="21"/>
      <c r="AH101" s="7"/>
      <c r="AJ101" s="101"/>
    </row>
    <row r="102" spans="1:36" ht="18.75" customHeight="1" x14ac:dyDescent="0.2">
      <c r="A102" s="82">
        <v>96</v>
      </c>
      <c r="B102" s="82"/>
      <c r="C102" s="82"/>
      <c r="D102" s="82"/>
      <c r="E102" s="82"/>
      <c r="F102" s="86" t="s">
        <v>129</v>
      </c>
      <c r="G102" s="64"/>
      <c r="H102" s="90"/>
      <c r="I102" s="90"/>
      <c r="J102" s="90"/>
      <c r="K102" s="90"/>
      <c r="L102" s="90"/>
      <c r="M102" s="90"/>
      <c r="N102" s="21"/>
      <c r="U102" s="21"/>
      <c r="Y102" s="22">
        <v>3</v>
      </c>
      <c r="AB102" s="21"/>
      <c r="AH102" s="7"/>
      <c r="AJ102" s="101"/>
    </row>
    <row r="103" spans="1:36" ht="19.5" customHeight="1" thickBot="1" x14ac:dyDescent="0.55000000000000004">
      <c r="A103" s="82">
        <v>97</v>
      </c>
      <c r="B103" s="84"/>
      <c r="C103" s="84"/>
      <c r="D103" s="84"/>
      <c r="E103" s="84"/>
      <c r="F103" s="83" t="s">
        <v>130</v>
      </c>
      <c r="G103" s="78"/>
      <c r="H103" s="25"/>
      <c r="I103" s="25"/>
      <c r="J103" s="25"/>
      <c r="K103" s="25"/>
      <c r="L103" s="25"/>
      <c r="M103" s="25"/>
      <c r="N103" s="26"/>
      <c r="O103" s="27"/>
      <c r="P103" s="27"/>
      <c r="Q103" s="27"/>
      <c r="R103" s="27"/>
      <c r="S103" s="27"/>
      <c r="T103" s="3"/>
      <c r="U103" s="26"/>
      <c r="V103" s="27"/>
      <c r="W103" s="27"/>
      <c r="X103" s="27"/>
      <c r="Y103" s="27"/>
      <c r="Z103" s="27"/>
      <c r="AA103" s="3"/>
      <c r="AB103" s="26"/>
      <c r="AC103" s="27"/>
      <c r="AD103" s="27"/>
      <c r="AE103" s="27"/>
      <c r="AF103" s="27"/>
      <c r="AG103" s="27"/>
      <c r="AH103" s="28"/>
      <c r="AJ103" s="101"/>
    </row>
    <row r="104" spans="1:36" ht="18.75" customHeight="1" thickTop="1" x14ac:dyDescent="0.2">
      <c r="A104" s="82">
        <v>98</v>
      </c>
      <c r="B104" s="82"/>
      <c r="C104" s="82"/>
      <c r="D104" s="82"/>
      <c r="E104" s="82"/>
      <c r="F104" s="86" t="s">
        <v>112</v>
      </c>
      <c r="G104" s="73" t="s">
        <v>48</v>
      </c>
      <c r="H104" s="7"/>
      <c r="I104" s="90"/>
      <c r="J104" s="90"/>
      <c r="K104" s="90"/>
      <c r="L104" s="90"/>
      <c r="M104" s="90"/>
      <c r="N104" s="21"/>
      <c r="U104" s="21"/>
      <c r="AB104" s="21"/>
      <c r="AH104" s="7"/>
      <c r="AJ104" s="101"/>
    </row>
    <row r="105" spans="1:36" ht="18.75" customHeight="1" x14ac:dyDescent="0.2">
      <c r="A105" s="82">
        <v>99</v>
      </c>
      <c r="B105" s="82"/>
      <c r="C105" s="82"/>
      <c r="D105" s="82"/>
      <c r="E105" s="87"/>
      <c r="F105" s="86" t="s">
        <v>131</v>
      </c>
      <c r="G105" s="76"/>
      <c r="H105" s="90"/>
      <c r="I105" s="90"/>
      <c r="J105" s="33"/>
      <c r="K105" s="33"/>
      <c r="L105" s="33"/>
      <c r="M105" s="33"/>
      <c r="N105" s="34"/>
      <c r="O105" s="35"/>
      <c r="P105" s="35"/>
      <c r="Q105" s="35"/>
      <c r="R105" s="35"/>
      <c r="S105" s="35"/>
      <c r="T105" s="36"/>
      <c r="U105" s="34"/>
      <c r="V105" s="35"/>
      <c r="W105" s="35"/>
      <c r="X105" s="35"/>
      <c r="Y105" s="35"/>
      <c r="Z105" s="35"/>
      <c r="AA105" s="36"/>
      <c r="AB105" s="34"/>
      <c r="AC105" s="35"/>
      <c r="AD105" s="35"/>
      <c r="AE105" s="35"/>
      <c r="AF105" s="35"/>
      <c r="AG105" s="35"/>
      <c r="AH105" s="37"/>
      <c r="AJ105" s="101"/>
    </row>
    <row r="106" spans="1:36" ht="18.75" customHeight="1" x14ac:dyDescent="0.2">
      <c r="A106" s="82">
        <v>100</v>
      </c>
      <c r="B106" s="74"/>
      <c r="C106" s="74"/>
      <c r="D106" s="74"/>
      <c r="E106" s="74"/>
      <c r="F106" s="85" t="s">
        <v>132</v>
      </c>
      <c r="G106" s="104"/>
      <c r="H106" s="90"/>
      <c r="I106" s="90"/>
      <c r="J106" s="90"/>
      <c r="K106" s="90"/>
      <c r="L106" s="90"/>
      <c r="M106" s="90"/>
      <c r="N106" s="21"/>
      <c r="U106" s="21"/>
      <c r="AB106" s="21"/>
      <c r="AH106" s="7"/>
      <c r="AJ106" s="101"/>
    </row>
    <row r="107" spans="1:36" ht="18.75" customHeight="1" x14ac:dyDescent="0.2">
      <c r="A107" s="82">
        <v>101</v>
      </c>
      <c r="B107" s="82"/>
      <c r="C107" s="82"/>
      <c r="D107" s="82"/>
      <c r="E107" s="82"/>
      <c r="F107" s="86" t="s">
        <v>133</v>
      </c>
      <c r="G107" s="64"/>
      <c r="H107" s="90"/>
      <c r="I107" s="90"/>
      <c r="J107" s="90"/>
      <c r="K107" s="90"/>
      <c r="L107" s="90"/>
      <c r="M107" s="90"/>
      <c r="N107" s="21"/>
      <c r="U107" s="21"/>
      <c r="AB107" s="21"/>
      <c r="AH107" s="7"/>
      <c r="AJ107" s="101"/>
    </row>
    <row r="108" spans="1:36" ht="19.5" customHeight="1" thickBot="1" x14ac:dyDescent="0.55000000000000004">
      <c r="A108" s="82">
        <v>102</v>
      </c>
      <c r="B108" s="84"/>
      <c r="C108" s="84"/>
      <c r="D108" s="84"/>
      <c r="E108" s="84"/>
      <c r="F108" s="83" t="s">
        <v>134</v>
      </c>
      <c r="G108" s="78"/>
      <c r="H108" s="25"/>
      <c r="I108" s="25"/>
      <c r="J108" s="25"/>
      <c r="K108" s="25"/>
      <c r="L108" s="25"/>
      <c r="M108" s="25"/>
      <c r="N108" s="26"/>
      <c r="O108" s="27"/>
      <c r="P108" s="27"/>
      <c r="Q108" s="27"/>
      <c r="R108" s="27"/>
      <c r="S108" s="27"/>
      <c r="T108" s="3"/>
      <c r="U108" s="26"/>
      <c r="V108" s="27"/>
      <c r="W108" s="27"/>
      <c r="X108" s="27"/>
      <c r="Y108" s="27"/>
      <c r="Z108" s="27"/>
      <c r="AA108" s="3"/>
      <c r="AB108" s="26"/>
      <c r="AC108" s="27"/>
      <c r="AD108" s="27"/>
      <c r="AE108" s="27"/>
      <c r="AF108" s="27"/>
      <c r="AG108" s="27"/>
      <c r="AH108" s="28"/>
      <c r="AJ108" s="101"/>
    </row>
    <row r="109" spans="1:36" ht="18.75" customHeight="1" thickTop="1" x14ac:dyDescent="0.2">
      <c r="A109" s="82">
        <v>103</v>
      </c>
      <c r="B109" s="82"/>
      <c r="C109" s="82"/>
      <c r="D109" s="82"/>
      <c r="E109" s="82"/>
      <c r="F109" s="86" t="s">
        <v>135</v>
      </c>
      <c r="G109" s="73" t="s">
        <v>48</v>
      </c>
      <c r="H109" s="7"/>
      <c r="I109" s="90"/>
      <c r="J109" s="90"/>
      <c r="K109" s="90"/>
      <c r="L109" s="90"/>
      <c r="M109" s="90"/>
      <c r="N109" s="21"/>
      <c r="U109" s="21"/>
      <c r="AB109" s="21"/>
      <c r="AH109" s="7"/>
      <c r="AJ109" s="101"/>
    </row>
    <row r="110" spans="1:36" ht="18.75" customHeight="1" x14ac:dyDescent="0.2">
      <c r="A110" s="82">
        <v>104</v>
      </c>
      <c r="B110" s="82"/>
      <c r="C110" s="82"/>
      <c r="D110" s="82"/>
      <c r="E110" s="87"/>
      <c r="F110" s="86" t="s">
        <v>136</v>
      </c>
      <c r="G110" s="76"/>
      <c r="H110" s="90"/>
      <c r="I110" s="90"/>
      <c r="J110" s="33"/>
      <c r="K110" s="33"/>
      <c r="L110" s="33"/>
      <c r="M110" s="33"/>
      <c r="N110" s="34"/>
      <c r="O110" s="35"/>
      <c r="P110" s="35"/>
      <c r="Q110" s="35"/>
      <c r="R110" s="35"/>
      <c r="S110" s="35"/>
      <c r="T110" s="36"/>
      <c r="U110" s="34"/>
      <c r="V110" s="35"/>
      <c r="W110" s="35"/>
      <c r="X110" s="35"/>
      <c r="Y110" s="35"/>
      <c r="Z110" s="35"/>
      <c r="AA110" s="36"/>
      <c r="AB110" s="34"/>
      <c r="AC110" s="35"/>
      <c r="AD110" s="35"/>
      <c r="AE110" s="35"/>
      <c r="AF110" s="35"/>
      <c r="AG110" s="35"/>
      <c r="AH110" s="37"/>
      <c r="AJ110" s="101"/>
    </row>
    <row r="111" spans="1:36" ht="18.75" customHeight="1" x14ac:dyDescent="0.2">
      <c r="A111" s="82">
        <v>105</v>
      </c>
      <c r="B111" s="74"/>
      <c r="C111" s="74"/>
      <c r="D111" s="74"/>
      <c r="E111" s="74"/>
      <c r="F111" s="85" t="s">
        <v>137</v>
      </c>
      <c r="G111" s="104"/>
      <c r="H111" s="90"/>
      <c r="I111" s="90"/>
      <c r="J111" s="90"/>
      <c r="K111" s="90"/>
      <c r="L111" s="90"/>
      <c r="M111" s="90"/>
      <c r="N111" s="21"/>
      <c r="U111" s="21"/>
      <c r="AB111" s="21"/>
      <c r="AH111" s="7"/>
      <c r="AJ111" s="101"/>
    </row>
    <row r="112" spans="1:36" ht="18.75" customHeight="1" x14ac:dyDescent="0.2">
      <c r="A112" s="82">
        <v>106</v>
      </c>
      <c r="B112" s="82"/>
      <c r="C112" s="82"/>
      <c r="D112" s="82"/>
      <c r="E112" s="82"/>
      <c r="F112" s="86" t="s">
        <v>139</v>
      </c>
      <c r="G112" s="64"/>
      <c r="H112" s="90"/>
      <c r="I112" s="90"/>
      <c r="J112" s="90"/>
      <c r="K112" s="90"/>
      <c r="L112" s="90"/>
      <c r="M112" s="90"/>
      <c r="N112" s="21"/>
      <c r="U112" s="21"/>
      <c r="AB112" s="21"/>
      <c r="AH112" s="7"/>
      <c r="AJ112" s="101"/>
    </row>
    <row r="113" spans="1:36" ht="19.5" customHeight="1" thickBot="1" x14ac:dyDescent="0.55000000000000004">
      <c r="A113" s="82">
        <v>107</v>
      </c>
      <c r="B113" s="84"/>
      <c r="C113" s="84"/>
      <c r="D113" s="84"/>
      <c r="E113" s="84"/>
      <c r="F113" s="83" t="s">
        <v>138</v>
      </c>
      <c r="G113" s="78"/>
      <c r="H113" s="25"/>
      <c r="I113" s="25"/>
      <c r="J113" s="25"/>
      <c r="K113" s="25"/>
      <c r="L113" s="25"/>
      <c r="M113" s="25"/>
      <c r="N113" s="26"/>
      <c r="O113" s="27"/>
      <c r="P113" s="27"/>
      <c r="Q113" s="27"/>
      <c r="R113" s="27"/>
      <c r="S113" s="27"/>
      <c r="T113" s="3"/>
      <c r="U113" s="26"/>
      <c r="V113" s="27"/>
      <c r="W113" s="27"/>
      <c r="X113" s="27"/>
      <c r="Y113" s="27"/>
      <c r="Z113" s="27"/>
      <c r="AA113" s="3"/>
      <c r="AB113" s="26"/>
      <c r="AC113" s="27"/>
      <c r="AD113" s="27"/>
      <c r="AE113" s="27"/>
      <c r="AF113" s="27"/>
      <c r="AG113" s="27"/>
      <c r="AH113" s="28"/>
      <c r="AJ113" s="101"/>
    </row>
    <row r="114" spans="1:36" ht="18.75" customHeight="1" thickTop="1" x14ac:dyDescent="0.2">
      <c r="A114" s="82">
        <v>108</v>
      </c>
      <c r="B114" s="82"/>
      <c r="C114" s="82"/>
      <c r="D114" s="82"/>
      <c r="E114" s="82"/>
      <c r="F114" s="86" t="s">
        <v>119</v>
      </c>
      <c r="G114" s="73" t="s">
        <v>48</v>
      </c>
      <c r="H114" s="7"/>
      <c r="I114" s="90"/>
      <c r="J114" s="90"/>
      <c r="K114" s="90"/>
      <c r="L114" s="90"/>
      <c r="M114" s="90"/>
      <c r="N114" s="21"/>
      <c r="U114" s="21"/>
      <c r="AB114" s="21"/>
      <c r="AH114" s="7"/>
      <c r="AJ114" s="101"/>
    </row>
    <row r="115" spans="1:36" ht="18.75" customHeight="1" x14ac:dyDescent="0.2">
      <c r="A115" s="82">
        <v>109</v>
      </c>
      <c r="B115" s="82"/>
      <c r="C115" s="82"/>
      <c r="D115" s="82"/>
      <c r="E115" s="87"/>
      <c r="F115" s="86" t="s">
        <v>140</v>
      </c>
      <c r="G115" s="76"/>
      <c r="H115" s="90"/>
      <c r="I115" s="90"/>
      <c r="J115" s="33"/>
      <c r="K115" s="33"/>
      <c r="L115" s="33"/>
      <c r="M115" s="33"/>
      <c r="N115" s="34"/>
      <c r="O115" s="35"/>
      <c r="P115" s="35"/>
      <c r="Q115" s="35"/>
      <c r="R115" s="35"/>
      <c r="S115" s="35"/>
      <c r="T115" s="36"/>
      <c r="U115" s="34"/>
      <c r="V115" s="35"/>
      <c r="W115" s="35"/>
      <c r="X115" s="35"/>
      <c r="Y115" s="35"/>
      <c r="Z115" s="35"/>
      <c r="AA115" s="36"/>
      <c r="AB115" s="34"/>
      <c r="AC115" s="35"/>
      <c r="AD115" s="35"/>
      <c r="AE115" s="35"/>
      <c r="AF115" s="35"/>
      <c r="AG115" s="35"/>
      <c r="AH115" s="37"/>
      <c r="AJ115" s="101"/>
    </row>
    <row r="116" spans="1:36" ht="18.75" customHeight="1" x14ac:dyDescent="0.2">
      <c r="A116" s="82">
        <v>110</v>
      </c>
      <c r="B116" s="74"/>
      <c r="C116" s="74"/>
      <c r="D116" s="74"/>
      <c r="E116" s="74"/>
      <c r="F116" s="85" t="s">
        <v>141</v>
      </c>
      <c r="G116" s="104"/>
      <c r="H116" s="90"/>
      <c r="I116" s="90"/>
      <c r="J116" s="90"/>
      <c r="K116" s="90"/>
      <c r="L116" s="90"/>
      <c r="M116" s="90"/>
      <c r="N116" s="21"/>
      <c r="U116" s="21"/>
      <c r="AB116" s="21"/>
      <c r="AH116" s="7"/>
      <c r="AJ116" s="101"/>
    </row>
    <row r="117" spans="1:36" ht="18.75" customHeight="1" x14ac:dyDescent="0.2">
      <c r="A117" s="82">
        <v>111</v>
      </c>
      <c r="B117" s="82"/>
      <c r="C117" s="82"/>
      <c r="D117" s="82"/>
      <c r="E117" s="82"/>
      <c r="F117" s="86" t="s">
        <v>142</v>
      </c>
      <c r="G117" s="64"/>
      <c r="H117" s="90"/>
      <c r="I117" s="90"/>
      <c r="J117" s="90"/>
      <c r="K117" s="90"/>
      <c r="L117" s="90"/>
      <c r="M117" s="90"/>
      <c r="N117" s="21"/>
      <c r="U117" s="21"/>
      <c r="AB117" s="21"/>
      <c r="AH117" s="7"/>
      <c r="AJ117" s="101"/>
    </row>
    <row r="118" spans="1:36" ht="19.5" customHeight="1" thickBot="1" x14ac:dyDescent="0.55000000000000004">
      <c r="A118" s="82">
        <v>112</v>
      </c>
      <c r="B118" s="84"/>
      <c r="C118" s="84"/>
      <c r="D118" s="84"/>
      <c r="E118" s="84"/>
      <c r="F118" s="83" t="s">
        <v>143</v>
      </c>
      <c r="G118" s="78"/>
      <c r="H118" s="25"/>
      <c r="I118" s="25"/>
      <c r="J118" s="25"/>
      <c r="K118" s="25"/>
      <c r="L118" s="25"/>
      <c r="M118" s="25"/>
      <c r="N118" s="26"/>
      <c r="O118" s="27"/>
      <c r="P118" s="27"/>
      <c r="Q118" s="27"/>
      <c r="R118" s="27"/>
      <c r="S118" s="27"/>
      <c r="T118" s="3"/>
      <c r="U118" s="26"/>
      <c r="V118" s="27"/>
      <c r="W118" s="27"/>
      <c r="X118" s="27"/>
      <c r="Y118" s="27"/>
      <c r="Z118" s="27"/>
      <c r="AA118" s="3"/>
      <c r="AB118" s="26"/>
      <c r="AC118" s="27"/>
      <c r="AD118" s="27"/>
      <c r="AE118" s="27"/>
      <c r="AF118" s="27"/>
      <c r="AG118" s="27"/>
      <c r="AH118" s="28"/>
      <c r="AJ118" s="101"/>
    </row>
    <row r="119" spans="1:36" ht="18.75" customHeight="1" thickTop="1" x14ac:dyDescent="0.2">
      <c r="A119" s="82">
        <v>113</v>
      </c>
      <c r="B119" s="82"/>
      <c r="C119" s="82"/>
      <c r="D119" s="82"/>
      <c r="E119" s="87"/>
      <c r="F119" s="86" t="s">
        <v>144</v>
      </c>
      <c r="G119" s="76"/>
      <c r="H119" s="90"/>
      <c r="I119" s="90"/>
      <c r="J119" s="33"/>
      <c r="K119" s="33"/>
      <c r="L119" s="33"/>
      <c r="M119" s="33"/>
      <c r="N119" s="34"/>
      <c r="O119" s="35"/>
      <c r="P119" s="35"/>
      <c r="Q119" s="35"/>
      <c r="R119" s="35"/>
      <c r="S119" s="35"/>
      <c r="T119" s="36"/>
      <c r="U119" s="34"/>
      <c r="V119" s="35"/>
      <c r="W119" s="35"/>
      <c r="X119" s="35"/>
      <c r="Y119" s="35"/>
      <c r="Z119" s="35"/>
      <c r="AA119" s="36"/>
      <c r="AB119" s="34"/>
      <c r="AC119" s="35"/>
      <c r="AD119" s="35"/>
      <c r="AE119" s="35"/>
      <c r="AF119" s="35"/>
      <c r="AG119" s="35"/>
      <c r="AH119" s="37"/>
      <c r="AJ119" s="101"/>
    </row>
    <row r="120" spans="1:36" ht="19.5" customHeight="1" x14ac:dyDescent="0.2">
      <c r="A120" s="82">
        <v>114</v>
      </c>
      <c r="B120" s="74"/>
      <c r="C120" s="74"/>
      <c r="D120" s="74"/>
      <c r="E120" s="74"/>
      <c r="F120" s="85" t="s">
        <v>145</v>
      </c>
      <c r="G120" s="104"/>
      <c r="H120" s="90"/>
      <c r="I120" s="90"/>
      <c r="J120" s="90"/>
      <c r="K120" s="90"/>
      <c r="L120" s="90"/>
      <c r="M120" s="90"/>
      <c r="N120" s="21"/>
      <c r="U120" s="21"/>
      <c r="AB120" s="21"/>
      <c r="AH120" s="7"/>
      <c r="AJ120" s="101"/>
    </row>
    <row r="121" spans="1:36" ht="18.75" customHeight="1" x14ac:dyDescent="0.2">
      <c r="A121" s="82">
        <v>115</v>
      </c>
      <c r="B121" s="82"/>
      <c r="C121" s="82"/>
      <c r="D121" s="82"/>
      <c r="E121" s="82"/>
      <c r="F121" s="86" t="s">
        <v>146</v>
      </c>
      <c r="G121" s="64"/>
      <c r="H121" s="90"/>
      <c r="I121" s="90"/>
      <c r="J121" s="90"/>
      <c r="K121" s="90"/>
      <c r="L121" s="90"/>
      <c r="M121" s="90"/>
      <c r="N121" s="21"/>
      <c r="U121" s="21"/>
      <c r="AB121" s="21"/>
      <c r="AH121" s="7"/>
      <c r="AJ121" s="101"/>
    </row>
    <row r="122" spans="1:36" ht="19.5" customHeight="1" thickBot="1" x14ac:dyDescent="0.55000000000000004">
      <c r="A122" s="82">
        <v>116</v>
      </c>
      <c r="B122" s="84"/>
      <c r="C122" s="84"/>
      <c r="D122" s="84"/>
      <c r="E122" s="84"/>
      <c r="F122" s="83" t="s">
        <v>147</v>
      </c>
      <c r="G122" s="78"/>
      <c r="H122" s="25"/>
      <c r="I122" s="25"/>
      <c r="J122" s="25"/>
      <c r="K122" s="25"/>
      <c r="L122" s="25"/>
      <c r="M122" s="25"/>
      <c r="N122" s="26"/>
      <c r="O122" s="27"/>
      <c r="P122" s="27"/>
      <c r="Q122" s="27"/>
      <c r="R122" s="27"/>
      <c r="S122" s="27"/>
      <c r="T122" s="3"/>
      <c r="U122" s="26"/>
      <c r="V122" s="27"/>
      <c r="W122" s="27"/>
      <c r="X122" s="27"/>
      <c r="Y122" s="27"/>
      <c r="Z122" s="27"/>
      <c r="AA122" s="3"/>
      <c r="AB122" s="26"/>
      <c r="AC122" s="27"/>
      <c r="AD122" s="27"/>
      <c r="AE122" s="27"/>
      <c r="AF122" s="27"/>
      <c r="AG122" s="27"/>
      <c r="AH122" s="28"/>
      <c r="AJ122" s="101"/>
    </row>
    <row r="123" spans="1:36" ht="18.75" customHeight="1" thickTop="1" x14ac:dyDescent="0.2">
      <c r="A123" s="82">
        <v>117</v>
      </c>
      <c r="B123" s="82"/>
      <c r="C123" s="82"/>
      <c r="D123" s="82"/>
      <c r="E123" s="82"/>
      <c r="F123" s="86" t="s">
        <v>148</v>
      </c>
      <c r="G123" s="73" t="s">
        <v>48</v>
      </c>
      <c r="H123" s="7"/>
      <c r="I123" s="90"/>
      <c r="J123" s="90"/>
      <c r="K123" s="90"/>
      <c r="L123" s="90"/>
      <c r="M123" s="90"/>
      <c r="N123" s="21"/>
      <c r="U123" s="21"/>
      <c r="Y123" s="22">
        <v>4</v>
      </c>
      <c r="AB123" s="21"/>
      <c r="AH123" s="7"/>
      <c r="AJ123" s="101"/>
    </row>
    <row r="124" spans="1:36" ht="18.75" customHeight="1" x14ac:dyDescent="0.2">
      <c r="A124" s="82">
        <v>118</v>
      </c>
      <c r="B124" s="82"/>
      <c r="C124" s="82"/>
      <c r="D124" s="82"/>
      <c r="E124" s="87"/>
      <c r="F124" s="86" t="s">
        <v>149</v>
      </c>
      <c r="G124" s="76"/>
      <c r="H124" s="90"/>
      <c r="I124" s="90"/>
      <c r="J124" s="33"/>
      <c r="K124" s="33"/>
      <c r="L124" s="33"/>
      <c r="M124" s="33"/>
      <c r="N124" s="34"/>
      <c r="O124" s="35"/>
      <c r="P124" s="35"/>
      <c r="Q124" s="35"/>
      <c r="R124" s="35"/>
      <c r="S124" s="35"/>
      <c r="T124" s="36"/>
      <c r="U124" s="34"/>
      <c r="V124" s="35"/>
      <c r="W124" s="35"/>
      <c r="X124" s="35"/>
      <c r="Y124" s="35"/>
      <c r="Z124" s="35"/>
      <c r="AA124" s="36"/>
      <c r="AB124" s="34"/>
      <c r="AC124" s="35"/>
      <c r="AD124" s="35"/>
      <c r="AE124" s="35"/>
      <c r="AF124" s="35"/>
      <c r="AG124" s="35"/>
      <c r="AH124" s="37"/>
      <c r="AJ124" s="101"/>
    </row>
    <row r="125" spans="1:36" ht="18.75" customHeight="1" x14ac:dyDescent="0.2">
      <c r="A125" s="82">
        <v>119</v>
      </c>
      <c r="B125" s="74"/>
      <c r="C125" s="74"/>
      <c r="D125" s="74"/>
      <c r="E125" s="74"/>
      <c r="F125" s="85" t="s">
        <v>150</v>
      </c>
      <c r="G125" s="104"/>
      <c r="H125" s="90"/>
      <c r="I125" s="90"/>
      <c r="J125" s="90"/>
      <c r="K125" s="90"/>
      <c r="L125" s="90"/>
      <c r="M125" s="90"/>
      <c r="N125" s="21"/>
      <c r="U125" s="21"/>
      <c r="Y125" s="22">
        <v>3</v>
      </c>
      <c r="AB125" s="21"/>
      <c r="AH125" s="7"/>
      <c r="AJ125" s="101"/>
    </row>
    <row r="126" spans="1:36" ht="18.75" customHeight="1" x14ac:dyDescent="0.2">
      <c r="A126" s="82">
        <v>120</v>
      </c>
      <c r="B126" s="82"/>
      <c r="C126" s="82"/>
      <c r="D126" s="82"/>
      <c r="E126" s="82"/>
      <c r="F126" s="86" t="s">
        <v>130</v>
      </c>
      <c r="G126" s="64"/>
      <c r="H126" s="90"/>
      <c r="I126" s="90"/>
      <c r="J126" s="90"/>
      <c r="K126" s="90"/>
      <c r="L126" s="90"/>
      <c r="M126" s="90"/>
      <c r="N126" s="21"/>
      <c r="U126" s="21"/>
      <c r="AB126" s="21"/>
      <c r="AH126" s="7"/>
      <c r="AJ126" s="101"/>
    </row>
    <row r="127" spans="1:36" ht="19.5" customHeight="1" thickBot="1" x14ac:dyDescent="0.55000000000000004">
      <c r="A127" s="82">
        <v>121</v>
      </c>
      <c r="B127" s="84"/>
      <c r="C127" s="84"/>
      <c r="D127" s="84"/>
      <c r="E127" s="84"/>
      <c r="F127" s="83" t="s">
        <v>151</v>
      </c>
      <c r="G127" s="78"/>
      <c r="H127" s="25"/>
      <c r="I127" s="25"/>
      <c r="J127" s="25"/>
      <c r="K127" s="25"/>
      <c r="L127" s="25"/>
      <c r="M127" s="25"/>
      <c r="N127" s="26"/>
      <c r="O127" s="27"/>
      <c r="P127" s="27"/>
      <c r="Q127" s="27"/>
      <c r="R127" s="27"/>
      <c r="S127" s="27"/>
      <c r="T127" s="3"/>
      <c r="U127" s="26"/>
      <c r="V127" s="27"/>
      <c r="W127" s="27"/>
      <c r="X127" s="27"/>
      <c r="Y127" s="27"/>
      <c r="Z127" s="27"/>
      <c r="AA127" s="3"/>
      <c r="AB127" s="26"/>
      <c r="AC127" s="27"/>
      <c r="AD127" s="27"/>
      <c r="AE127" s="27"/>
      <c r="AF127" s="27"/>
      <c r="AG127" s="27"/>
      <c r="AH127" s="28"/>
      <c r="AJ127" s="101"/>
    </row>
    <row r="128" spans="1:36" ht="18.75" customHeight="1" thickTop="1" x14ac:dyDescent="0.2">
      <c r="A128" s="82">
        <v>122</v>
      </c>
      <c r="B128" s="82"/>
      <c r="C128" s="82"/>
      <c r="D128" s="82"/>
      <c r="E128" s="82"/>
      <c r="F128" s="86" t="s">
        <v>152</v>
      </c>
      <c r="G128" s="73" t="s">
        <v>48</v>
      </c>
      <c r="H128" s="7"/>
      <c r="I128" s="90"/>
      <c r="J128" s="90"/>
      <c r="K128" s="90"/>
      <c r="L128" s="90"/>
      <c r="M128" s="90"/>
      <c r="N128" s="21"/>
      <c r="U128" s="21"/>
      <c r="AB128" s="21"/>
      <c r="AH128" s="7"/>
      <c r="AJ128" s="101"/>
    </row>
    <row r="129" spans="1:36" ht="18.75" customHeight="1" x14ac:dyDescent="0.2">
      <c r="A129" s="82">
        <v>123</v>
      </c>
      <c r="B129" s="82"/>
      <c r="C129" s="82"/>
      <c r="D129" s="82"/>
      <c r="E129" s="87"/>
      <c r="F129" s="86" t="s">
        <v>168</v>
      </c>
      <c r="G129" s="76"/>
      <c r="H129" s="90"/>
      <c r="I129" s="90"/>
      <c r="J129" s="33"/>
      <c r="K129" s="33"/>
      <c r="L129" s="33"/>
      <c r="M129" s="33"/>
      <c r="N129" s="34"/>
      <c r="O129" s="35"/>
      <c r="P129" s="35"/>
      <c r="Q129" s="35"/>
      <c r="R129" s="35"/>
      <c r="S129" s="35"/>
      <c r="T129" s="36"/>
      <c r="U129" s="34">
        <v>1</v>
      </c>
      <c r="V129" s="35"/>
      <c r="W129" s="35"/>
      <c r="X129" s="35"/>
      <c r="Y129" s="35"/>
      <c r="Z129" s="35"/>
      <c r="AA129" s="36"/>
      <c r="AB129" s="34"/>
      <c r="AC129" s="35"/>
      <c r="AD129" s="35"/>
      <c r="AE129" s="35"/>
      <c r="AF129" s="35"/>
      <c r="AG129" s="35"/>
      <c r="AH129" s="37"/>
      <c r="AJ129" s="101"/>
    </row>
    <row r="130" spans="1:36" ht="18.75" customHeight="1" x14ac:dyDescent="0.2">
      <c r="A130" s="82">
        <v>124</v>
      </c>
      <c r="B130" s="74"/>
      <c r="C130" s="74"/>
      <c r="D130" s="74"/>
      <c r="E130" s="74"/>
      <c r="F130" s="85" t="s">
        <v>169</v>
      </c>
      <c r="G130" s="104"/>
      <c r="H130" s="90"/>
      <c r="I130" s="90"/>
      <c r="J130" s="90"/>
      <c r="K130" s="90"/>
      <c r="L130" s="90"/>
      <c r="M130" s="90"/>
      <c r="N130" s="21"/>
      <c r="U130" s="21">
        <v>2</v>
      </c>
      <c r="AB130" s="21"/>
      <c r="AH130" s="7"/>
      <c r="AJ130" s="101"/>
    </row>
    <row r="131" spans="1:36" ht="18.75" customHeight="1" x14ac:dyDescent="0.2">
      <c r="A131" s="82">
        <v>125</v>
      </c>
      <c r="B131" s="74"/>
      <c r="C131" s="74"/>
      <c r="D131" s="74"/>
      <c r="E131" s="74"/>
      <c r="F131" s="64" t="s">
        <v>170</v>
      </c>
      <c r="G131" s="64"/>
      <c r="H131" s="90"/>
      <c r="I131" s="90"/>
      <c r="J131" s="90"/>
      <c r="K131" s="90"/>
      <c r="L131" s="90"/>
      <c r="M131" s="90"/>
      <c r="N131" s="21"/>
      <c r="U131" s="21">
        <v>1</v>
      </c>
      <c r="AB131" s="21"/>
      <c r="AH131" s="7"/>
      <c r="AJ131" s="101"/>
    </row>
    <row r="132" spans="1:36" ht="19.5" customHeight="1" thickBot="1" x14ac:dyDescent="0.55000000000000004">
      <c r="A132" s="82">
        <v>126</v>
      </c>
      <c r="B132" s="77"/>
      <c r="C132" s="77"/>
      <c r="D132" s="77"/>
      <c r="E132" s="77"/>
      <c r="F132" s="97" t="s">
        <v>171</v>
      </c>
      <c r="G132" s="78"/>
      <c r="H132" s="25"/>
      <c r="I132" s="25"/>
      <c r="J132" s="25"/>
      <c r="K132" s="25"/>
      <c r="L132" s="25"/>
      <c r="M132" s="25"/>
      <c r="N132" s="26"/>
      <c r="O132" s="27"/>
      <c r="P132" s="27"/>
      <c r="Q132" s="27"/>
      <c r="R132" s="27"/>
      <c r="S132" s="27"/>
      <c r="T132" s="3"/>
      <c r="U132" s="26">
        <v>1</v>
      </c>
      <c r="V132" s="27"/>
      <c r="W132" s="27"/>
      <c r="X132" s="27"/>
      <c r="Y132" s="27"/>
      <c r="Z132" s="27"/>
      <c r="AA132" s="3"/>
      <c r="AB132" s="26"/>
      <c r="AC132" s="27"/>
      <c r="AD132" s="27"/>
      <c r="AE132" s="27"/>
      <c r="AF132" s="27"/>
      <c r="AG132" s="27"/>
      <c r="AH132" s="28"/>
      <c r="AJ132" s="101"/>
    </row>
    <row r="133" spans="1:36" ht="18.75" customHeight="1" thickTop="1" x14ac:dyDescent="0.2">
      <c r="A133" s="82">
        <v>127</v>
      </c>
      <c r="B133" s="82"/>
      <c r="C133" s="82"/>
      <c r="D133" s="82"/>
      <c r="E133" s="82"/>
      <c r="F133" s="86" t="s">
        <v>172</v>
      </c>
      <c r="G133" s="73" t="s">
        <v>48</v>
      </c>
      <c r="H133" s="7"/>
      <c r="I133" s="90"/>
      <c r="J133" s="90"/>
      <c r="K133" s="90"/>
      <c r="L133" s="90"/>
      <c r="M133" s="90"/>
      <c r="N133" s="21"/>
      <c r="U133" s="21">
        <v>1</v>
      </c>
      <c r="AB133" s="21"/>
      <c r="AH133" s="7"/>
      <c r="AJ133" s="101"/>
    </row>
    <row r="134" spans="1:36" ht="18.75" customHeight="1" x14ac:dyDescent="0.2">
      <c r="A134" s="82">
        <v>128</v>
      </c>
      <c r="B134" s="82"/>
      <c r="C134" s="82"/>
      <c r="D134" s="82"/>
      <c r="E134" s="87"/>
      <c r="F134" s="86" t="s">
        <v>173</v>
      </c>
      <c r="G134" s="76"/>
      <c r="H134" s="90"/>
      <c r="I134" s="90"/>
      <c r="J134" s="33"/>
      <c r="K134" s="33"/>
      <c r="L134" s="33"/>
      <c r="M134" s="33"/>
      <c r="N134" s="34"/>
      <c r="O134" s="35"/>
      <c r="P134" s="35"/>
      <c r="Q134" s="35"/>
      <c r="R134" s="35"/>
      <c r="S134" s="35"/>
      <c r="T134" s="36"/>
      <c r="U134" s="34">
        <v>1</v>
      </c>
      <c r="V134" s="35"/>
      <c r="W134" s="35"/>
      <c r="X134" s="35"/>
      <c r="Y134" s="35"/>
      <c r="Z134" s="35"/>
      <c r="AA134" s="36"/>
      <c r="AB134" s="34"/>
      <c r="AC134" s="35"/>
      <c r="AD134" s="35"/>
      <c r="AE134" s="35"/>
      <c r="AF134" s="35"/>
      <c r="AG134" s="35"/>
      <c r="AH134" s="37"/>
      <c r="AJ134" s="101"/>
    </row>
    <row r="135" spans="1:36" ht="18.75" customHeight="1" x14ac:dyDescent="0.2">
      <c r="A135" s="82">
        <v>129</v>
      </c>
      <c r="B135" s="74"/>
      <c r="C135" s="74"/>
      <c r="D135" s="74"/>
      <c r="E135" s="74"/>
      <c r="F135" s="85" t="s">
        <v>174</v>
      </c>
      <c r="G135" s="104"/>
      <c r="H135" s="90"/>
      <c r="I135" s="90"/>
      <c r="J135" s="90"/>
      <c r="K135" s="90"/>
      <c r="L135" s="90"/>
      <c r="M135" s="90"/>
      <c r="N135" s="21"/>
      <c r="U135" s="21">
        <v>2</v>
      </c>
      <c r="AB135" s="21"/>
      <c r="AH135" s="7"/>
      <c r="AJ135" s="101"/>
    </row>
    <row r="136" spans="1:36" ht="18.75" customHeight="1" x14ac:dyDescent="0.2">
      <c r="A136" s="82">
        <v>130</v>
      </c>
      <c r="B136" s="74"/>
      <c r="C136" s="74"/>
      <c r="D136" s="74"/>
      <c r="E136" s="74"/>
      <c r="F136" s="64" t="s">
        <v>175</v>
      </c>
      <c r="G136" s="64"/>
      <c r="H136" s="90"/>
      <c r="I136" s="90"/>
      <c r="J136" s="90"/>
      <c r="K136" s="90"/>
      <c r="L136" s="90"/>
      <c r="M136" s="90"/>
      <c r="N136" s="21"/>
      <c r="U136" s="21">
        <v>2</v>
      </c>
      <c r="AB136" s="21"/>
      <c r="AH136" s="7"/>
      <c r="AJ136" s="101"/>
    </row>
    <row r="137" spans="1:36" ht="19.5" customHeight="1" thickBot="1" x14ac:dyDescent="0.55000000000000004">
      <c r="A137" s="82">
        <v>131</v>
      </c>
      <c r="B137" s="77"/>
      <c r="C137" s="77"/>
      <c r="D137" s="77"/>
      <c r="E137" s="77"/>
      <c r="F137" s="97" t="s">
        <v>176</v>
      </c>
      <c r="G137" s="78"/>
      <c r="H137" s="25"/>
      <c r="I137" s="25"/>
      <c r="J137" s="25"/>
      <c r="K137" s="25"/>
      <c r="L137" s="25"/>
      <c r="M137" s="25"/>
      <c r="N137" s="26"/>
      <c r="O137" s="27"/>
      <c r="P137" s="27"/>
      <c r="Q137" s="27"/>
      <c r="R137" s="27"/>
      <c r="S137" s="27"/>
      <c r="T137" s="3"/>
      <c r="U137" s="26">
        <v>2</v>
      </c>
      <c r="V137" s="27"/>
      <c r="W137" s="27"/>
      <c r="X137" s="27"/>
      <c r="Y137" s="27"/>
      <c r="Z137" s="27"/>
      <c r="AA137" s="3"/>
      <c r="AB137" s="26"/>
      <c r="AC137" s="27"/>
      <c r="AD137" s="27"/>
      <c r="AE137" s="27"/>
      <c r="AF137" s="27"/>
      <c r="AG137" s="27"/>
      <c r="AH137" s="28"/>
      <c r="AJ137" s="101"/>
    </row>
    <row r="138" spans="1:36" ht="18.75" customHeight="1" thickTop="1" x14ac:dyDescent="0.2">
      <c r="A138" s="82">
        <v>132</v>
      </c>
      <c r="B138" s="82"/>
      <c r="C138" s="82"/>
      <c r="D138" s="82"/>
      <c r="E138" s="82"/>
      <c r="F138" s="64" t="s">
        <v>177</v>
      </c>
      <c r="G138" s="73" t="s">
        <v>48</v>
      </c>
      <c r="H138" s="7"/>
      <c r="I138" s="90"/>
      <c r="J138" s="90"/>
      <c r="K138" s="90"/>
      <c r="L138" s="90"/>
      <c r="M138" s="90"/>
      <c r="N138" s="21"/>
      <c r="U138" s="21">
        <v>2</v>
      </c>
      <c r="AB138" s="21"/>
      <c r="AH138" s="7"/>
      <c r="AJ138" s="101"/>
    </row>
    <row r="139" spans="1:36" ht="18.75" customHeight="1" x14ac:dyDescent="0.2">
      <c r="A139" s="82">
        <v>133</v>
      </c>
      <c r="B139" s="82"/>
      <c r="C139" s="82"/>
      <c r="D139" s="82"/>
      <c r="E139" s="87"/>
      <c r="F139" s="64" t="s">
        <v>178</v>
      </c>
      <c r="G139" s="76"/>
      <c r="H139" s="90"/>
      <c r="I139" s="90"/>
      <c r="J139" s="33"/>
      <c r="K139" s="33"/>
      <c r="L139" s="33"/>
      <c r="M139" s="33"/>
      <c r="N139" s="34"/>
      <c r="O139" s="35"/>
      <c r="P139" s="35"/>
      <c r="Q139" s="35"/>
      <c r="R139" s="35"/>
      <c r="S139" s="35"/>
      <c r="T139" s="36"/>
      <c r="U139" s="34">
        <v>2</v>
      </c>
      <c r="V139" s="35"/>
      <c r="W139" s="35"/>
      <c r="X139" s="35"/>
      <c r="Y139" s="35"/>
      <c r="Z139" s="35"/>
      <c r="AA139" s="36"/>
      <c r="AB139" s="34"/>
      <c r="AC139" s="35"/>
      <c r="AD139" s="35"/>
      <c r="AE139" s="35"/>
      <c r="AF139" s="35"/>
      <c r="AG139" s="35"/>
      <c r="AH139" s="37"/>
      <c r="AJ139" s="101"/>
    </row>
    <row r="140" spans="1:36" ht="18.75" customHeight="1" x14ac:dyDescent="0.2">
      <c r="A140" s="82">
        <v>134</v>
      </c>
      <c r="B140" s="74"/>
      <c r="C140" s="74"/>
      <c r="D140" s="74"/>
      <c r="E140" s="74"/>
      <c r="F140" s="98" t="s">
        <v>179</v>
      </c>
      <c r="G140" s="104"/>
      <c r="H140" s="90"/>
      <c r="I140" s="90"/>
      <c r="J140" s="90"/>
      <c r="K140" s="90"/>
      <c r="L140" s="90"/>
      <c r="M140" s="90"/>
      <c r="N140" s="21"/>
      <c r="U140" s="21">
        <v>3</v>
      </c>
      <c r="AB140" s="21"/>
      <c r="AH140" s="7"/>
      <c r="AJ140" s="101"/>
    </row>
    <row r="141" spans="1:36" ht="18.75" customHeight="1" x14ac:dyDescent="0.2">
      <c r="A141" s="82">
        <v>135</v>
      </c>
      <c r="B141" s="74"/>
      <c r="C141" s="74"/>
      <c r="D141" s="74"/>
      <c r="E141" s="74"/>
      <c r="F141" s="64" t="s">
        <v>180</v>
      </c>
      <c r="G141" s="64"/>
      <c r="H141" s="90"/>
      <c r="I141" s="90"/>
      <c r="J141" s="90"/>
      <c r="K141" s="90"/>
      <c r="L141" s="90"/>
      <c r="M141" s="90"/>
      <c r="N141" s="21"/>
      <c r="U141" s="21">
        <v>3</v>
      </c>
      <c r="AB141" s="21"/>
      <c r="AH141" s="7"/>
      <c r="AJ141" s="101"/>
    </row>
    <row r="142" spans="1:36" ht="19.5" customHeight="1" thickBot="1" x14ac:dyDescent="0.55000000000000004">
      <c r="A142" s="82">
        <v>136</v>
      </c>
      <c r="B142" s="77"/>
      <c r="C142" s="77"/>
      <c r="D142" s="77"/>
      <c r="E142" s="77"/>
      <c r="F142" s="97" t="s">
        <v>181</v>
      </c>
      <c r="G142" s="78"/>
      <c r="H142" s="25"/>
      <c r="I142" s="25"/>
      <c r="J142" s="25"/>
      <c r="K142" s="25"/>
      <c r="L142" s="25"/>
      <c r="M142" s="25"/>
      <c r="N142" s="26"/>
      <c r="O142" s="27"/>
      <c r="P142" s="27"/>
      <c r="Q142" s="27"/>
      <c r="R142" s="27"/>
      <c r="S142" s="27"/>
      <c r="T142" s="3"/>
      <c r="U142" s="26">
        <v>6</v>
      </c>
      <c r="V142" s="27"/>
      <c r="W142" s="27"/>
      <c r="X142" s="27"/>
      <c r="Y142" s="27"/>
      <c r="Z142" s="27"/>
      <c r="AA142" s="3"/>
      <c r="AB142" s="26"/>
      <c r="AC142" s="27"/>
      <c r="AD142" s="27"/>
      <c r="AE142" s="27"/>
      <c r="AF142" s="27"/>
      <c r="AG142" s="27"/>
      <c r="AH142" s="28"/>
      <c r="AJ142" s="101"/>
    </row>
    <row r="143" spans="1:36" ht="18.75" customHeight="1" thickTop="1" x14ac:dyDescent="0.2">
      <c r="A143" s="82">
        <v>137</v>
      </c>
      <c r="B143" s="82"/>
      <c r="C143" s="82"/>
      <c r="D143" s="82"/>
      <c r="E143" s="82"/>
      <c r="F143" s="64" t="s">
        <v>182</v>
      </c>
      <c r="G143" s="73" t="s">
        <v>48</v>
      </c>
      <c r="H143" s="7"/>
      <c r="I143" s="90"/>
      <c r="J143" s="90"/>
      <c r="K143" s="90"/>
      <c r="L143" s="90"/>
      <c r="M143" s="90"/>
      <c r="N143" s="21"/>
      <c r="U143" s="21">
        <v>4</v>
      </c>
      <c r="X143" s="22">
        <v>3</v>
      </c>
      <c r="AB143" s="21"/>
      <c r="AH143" s="7"/>
      <c r="AJ143" s="101"/>
    </row>
    <row r="144" spans="1:36" ht="18.75" customHeight="1" x14ac:dyDescent="0.2">
      <c r="A144" s="82">
        <v>138</v>
      </c>
      <c r="B144" s="82"/>
      <c r="C144" s="82"/>
      <c r="D144" s="82"/>
      <c r="E144" s="87"/>
      <c r="F144" s="64" t="s">
        <v>183</v>
      </c>
      <c r="G144" s="76"/>
      <c r="H144" s="90"/>
      <c r="I144" s="90"/>
      <c r="J144" s="33"/>
      <c r="K144" s="33"/>
      <c r="L144" s="33"/>
      <c r="M144" s="33"/>
      <c r="N144" s="34"/>
      <c r="O144" s="35"/>
      <c r="P144" s="35"/>
      <c r="Q144" s="35"/>
      <c r="R144" s="35"/>
      <c r="S144" s="35"/>
      <c r="T144" s="36"/>
      <c r="U144" s="34"/>
      <c r="V144" s="35">
        <v>2</v>
      </c>
      <c r="W144" s="35"/>
      <c r="X144" s="35"/>
      <c r="Y144" s="35"/>
      <c r="Z144" s="35"/>
      <c r="AA144" s="36"/>
      <c r="AB144" s="34"/>
      <c r="AC144" s="35"/>
      <c r="AD144" s="35"/>
      <c r="AE144" s="35"/>
      <c r="AF144" s="35"/>
      <c r="AG144" s="35"/>
      <c r="AH144" s="37"/>
      <c r="AJ144" s="101"/>
    </row>
    <row r="145" spans="1:36" ht="18.75" customHeight="1" x14ac:dyDescent="0.2">
      <c r="A145" s="82">
        <v>139</v>
      </c>
      <c r="B145" s="74"/>
      <c r="C145" s="74"/>
      <c r="D145" s="74"/>
      <c r="E145" s="74"/>
      <c r="F145" s="98" t="s">
        <v>184</v>
      </c>
      <c r="G145" s="104"/>
      <c r="H145" s="90"/>
      <c r="I145" s="90"/>
      <c r="J145" s="90"/>
      <c r="K145" s="90"/>
      <c r="L145" s="90"/>
      <c r="M145" s="90"/>
      <c r="N145" s="21"/>
      <c r="U145" s="21"/>
      <c r="V145" s="22">
        <v>1</v>
      </c>
      <c r="AB145" s="21"/>
      <c r="AC145" s="22">
        <v>1</v>
      </c>
      <c r="AH145" s="7"/>
      <c r="AJ145" s="101"/>
    </row>
    <row r="146" spans="1:36" ht="18.75" customHeight="1" x14ac:dyDescent="0.2">
      <c r="A146" s="82">
        <v>140</v>
      </c>
      <c r="B146" s="74"/>
      <c r="C146" s="74"/>
      <c r="D146" s="74"/>
      <c r="E146" s="74"/>
      <c r="F146" s="64" t="s">
        <v>185</v>
      </c>
      <c r="G146" s="64"/>
      <c r="H146" s="90"/>
      <c r="I146" s="90"/>
      <c r="J146" s="90"/>
      <c r="K146" s="90"/>
      <c r="L146" s="90"/>
      <c r="M146" s="90"/>
      <c r="N146" s="21"/>
      <c r="U146" s="21"/>
      <c r="V146" s="22">
        <v>1</v>
      </c>
      <c r="AB146" s="21"/>
      <c r="AH146" s="7"/>
      <c r="AJ146" s="101"/>
    </row>
    <row r="147" spans="1:36" ht="19.5" customHeight="1" thickBot="1" x14ac:dyDescent="0.55000000000000004">
      <c r="A147" s="82">
        <v>141</v>
      </c>
      <c r="B147" s="77"/>
      <c r="C147" s="77"/>
      <c r="D147" s="77"/>
      <c r="E147" s="77"/>
      <c r="F147" s="97" t="s">
        <v>186</v>
      </c>
      <c r="G147" s="78"/>
      <c r="H147" s="25"/>
      <c r="I147" s="25"/>
      <c r="J147" s="25"/>
      <c r="K147" s="25"/>
      <c r="L147" s="25"/>
      <c r="M147" s="25"/>
      <c r="N147" s="26"/>
      <c r="O147" s="27"/>
      <c r="P147" s="27"/>
      <c r="Q147" s="27"/>
      <c r="R147" s="27"/>
      <c r="S147" s="27"/>
      <c r="T147" s="3"/>
      <c r="U147" s="26"/>
      <c r="V147" s="27">
        <v>2</v>
      </c>
      <c r="W147" s="27"/>
      <c r="X147" s="27"/>
      <c r="Y147" s="27"/>
      <c r="Z147" s="27"/>
      <c r="AA147" s="3"/>
      <c r="AB147" s="26"/>
      <c r="AC147" s="27"/>
      <c r="AD147" s="27"/>
      <c r="AE147" s="27"/>
      <c r="AF147" s="27"/>
      <c r="AG147" s="27"/>
      <c r="AH147" s="28"/>
      <c r="AJ147" s="101"/>
    </row>
    <row r="148" spans="1:36" ht="18.75" customHeight="1" thickTop="1" x14ac:dyDescent="0.2">
      <c r="A148" s="82">
        <v>142</v>
      </c>
      <c r="B148" s="82"/>
      <c r="C148" s="82"/>
      <c r="D148" s="82"/>
      <c r="E148" s="82"/>
      <c r="F148" s="64" t="s">
        <v>187</v>
      </c>
      <c r="G148" s="73" t="s">
        <v>48</v>
      </c>
      <c r="H148" s="7"/>
      <c r="I148" s="90"/>
      <c r="J148" s="90"/>
      <c r="K148" s="90"/>
      <c r="L148" s="90"/>
      <c r="M148" s="90"/>
      <c r="N148" s="21"/>
      <c r="U148" s="21"/>
      <c r="V148" s="22">
        <v>1</v>
      </c>
      <c r="AB148" s="21"/>
      <c r="AH148" s="7"/>
      <c r="AJ148" s="101"/>
    </row>
    <row r="149" spans="1:36" ht="18.75" customHeight="1" x14ac:dyDescent="0.2">
      <c r="A149" s="82">
        <v>143</v>
      </c>
      <c r="B149" s="82"/>
      <c r="C149" s="82"/>
      <c r="D149" s="82"/>
      <c r="E149" s="87"/>
      <c r="F149" s="86" t="s">
        <v>188</v>
      </c>
      <c r="G149" s="76"/>
      <c r="H149" s="90"/>
      <c r="I149" s="90"/>
      <c r="J149" s="33"/>
      <c r="K149" s="33"/>
      <c r="L149" s="33"/>
      <c r="M149" s="33"/>
      <c r="N149" s="34"/>
      <c r="O149" s="35"/>
      <c r="P149" s="35"/>
      <c r="Q149" s="35"/>
      <c r="R149" s="35"/>
      <c r="S149" s="35"/>
      <c r="T149" s="36"/>
      <c r="U149" s="34"/>
      <c r="V149" s="35">
        <v>2</v>
      </c>
      <c r="W149" s="35"/>
      <c r="X149" s="35"/>
      <c r="Y149" s="35"/>
      <c r="Z149" s="35"/>
      <c r="AA149" s="36"/>
      <c r="AB149" s="34"/>
      <c r="AC149" s="35"/>
      <c r="AD149" s="35"/>
      <c r="AE149" s="35"/>
      <c r="AF149" s="35"/>
      <c r="AG149" s="35"/>
      <c r="AH149" s="37"/>
      <c r="AJ149" s="101"/>
    </row>
    <row r="150" spans="1:36" ht="18.75" customHeight="1" x14ac:dyDescent="0.2">
      <c r="A150" s="82">
        <v>144</v>
      </c>
      <c r="B150" s="74"/>
      <c r="C150" s="74"/>
      <c r="D150" s="74"/>
      <c r="E150" s="74"/>
      <c r="F150" s="85" t="s">
        <v>189</v>
      </c>
      <c r="G150" s="104"/>
      <c r="H150" s="90"/>
      <c r="I150" s="90"/>
      <c r="J150" s="90"/>
      <c r="K150" s="90"/>
      <c r="L150" s="90"/>
      <c r="M150" s="90"/>
      <c r="N150" s="21"/>
      <c r="U150" s="21"/>
      <c r="V150" s="22">
        <v>2</v>
      </c>
      <c r="AB150" s="21"/>
      <c r="AH150" s="7"/>
      <c r="AJ150" s="101"/>
    </row>
    <row r="151" spans="1:36" ht="18.75" customHeight="1" x14ac:dyDescent="0.2">
      <c r="A151" s="82">
        <v>145</v>
      </c>
      <c r="B151" s="74"/>
      <c r="C151" s="74"/>
      <c r="D151" s="74"/>
      <c r="E151" s="74"/>
      <c r="F151" s="64" t="s">
        <v>190</v>
      </c>
      <c r="G151" s="64"/>
      <c r="H151" s="90"/>
      <c r="I151" s="90"/>
      <c r="J151" s="90"/>
      <c r="K151" s="90"/>
      <c r="L151" s="90"/>
      <c r="M151" s="90"/>
      <c r="N151" s="21"/>
      <c r="U151" s="21"/>
      <c r="V151" s="22">
        <v>4</v>
      </c>
      <c r="AB151" s="21"/>
      <c r="AH151" s="7"/>
      <c r="AJ151" s="101"/>
    </row>
    <row r="152" spans="1:36" ht="19.5" customHeight="1" thickBot="1" x14ac:dyDescent="0.55000000000000004">
      <c r="A152" s="82">
        <v>146</v>
      </c>
      <c r="B152" s="77"/>
      <c r="C152" s="77"/>
      <c r="D152" s="77"/>
      <c r="E152" s="77"/>
      <c r="F152" s="97" t="s">
        <v>191</v>
      </c>
      <c r="G152" s="78"/>
      <c r="H152" s="25"/>
      <c r="I152" s="25"/>
      <c r="J152" s="25"/>
      <c r="K152" s="25"/>
      <c r="L152" s="25"/>
      <c r="M152" s="25"/>
      <c r="N152" s="26"/>
      <c r="O152" s="27"/>
      <c r="P152" s="27"/>
      <c r="Q152" s="27"/>
      <c r="R152" s="27"/>
      <c r="S152" s="27"/>
      <c r="T152" s="3"/>
      <c r="U152" s="26"/>
      <c r="V152" s="27">
        <v>3</v>
      </c>
      <c r="W152" s="27"/>
      <c r="X152" s="27"/>
      <c r="Y152" s="27"/>
      <c r="Z152" s="27"/>
      <c r="AA152" s="3"/>
      <c r="AB152" s="26"/>
      <c r="AC152" s="27">
        <v>4</v>
      </c>
      <c r="AD152" s="27"/>
      <c r="AE152" s="27"/>
      <c r="AF152" s="27"/>
      <c r="AG152" s="27"/>
      <c r="AH152" s="28"/>
      <c r="AJ152" s="101"/>
    </row>
    <row r="153" spans="1:36" ht="18.75" customHeight="1" thickTop="1" x14ac:dyDescent="0.2">
      <c r="A153" s="82">
        <v>147</v>
      </c>
      <c r="B153" s="82"/>
      <c r="C153" s="82"/>
      <c r="D153" s="82"/>
      <c r="E153" s="82"/>
      <c r="F153" s="64" t="s">
        <v>192</v>
      </c>
      <c r="G153" s="73" t="s">
        <v>48</v>
      </c>
      <c r="H153" s="7"/>
      <c r="I153" s="90"/>
      <c r="J153" s="90"/>
      <c r="K153" s="90"/>
      <c r="L153" s="90"/>
      <c r="M153" s="90"/>
      <c r="N153" s="21"/>
      <c r="U153" s="21"/>
      <c r="V153" s="22">
        <v>2</v>
      </c>
      <c r="AB153" s="21"/>
      <c r="AH153" s="7"/>
      <c r="AJ153" s="101"/>
    </row>
    <row r="154" spans="1:36" ht="18.75" customHeight="1" x14ac:dyDescent="0.2">
      <c r="A154" s="82">
        <v>148</v>
      </c>
      <c r="B154" s="82"/>
      <c r="C154" s="82"/>
      <c r="D154" s="82"/>
      <c r="E154" s="87"/>
      <c r="F154" s="64" t="s">
        <v>193</v>
      </c>
      <c r="G154" s="76"/>
      <c r="H154" s="90"/>
      <c r="I154" s="90"/>
      <c r="J154" s="33"/>
      <c r="K154" s="33"/>
      <c r="L154" s="33"/>
      <c r="M154" s="33"/>
      <c r="N154" s="34"/>
      <c r="O154" s="35"/>
      <c r="P154" s="35"/>
      <c r="Q154" s="35"/>
      <c r="R154" s="35"/>
      <c r="S154" s="35"/>
      <c r="T154" s="36"/>
      <c r="U154" s="34"/>
      <c r="V154" s="35">
        <v>1</v>
      </c>
      <c r="W154" s="35"/>
      <c r="X154" s="35"/>
      <c r="Y154" s="35"/>
      <c r="Z154" s="35"/>
      <c r="AA154" s="36"/>
      <c r="AB154" s="34"/>
      <c r="AC154" s="35"/>
      <c r="AD154" s="35"/>
      <c r="AE154" s="35"/>
      <c r="AF154" s="35"/>
      <c r="AG154" s="35"/>
      <c r="AH154" s="37"/>
      <c r="AJ154" s="101"/>
    </row>
    <row r="155" spans="1:36" ht="18.75" customHeight="1" x14ac:dyDescent="0.2">
      <c r="A155" s="82">
        <v>149</v>
      </c>
      <c r="B155" s="74"/>
      <c r="C155" s="74"/>
      <c r="D155" s="74"/>
      <c r="E155" s="74"/>
      <c r="F155" s="98" t="s">
        <v>194</v>
      </c>
      <c r="G155" s="104"/>
      <c r="H155" s="90"/>
      <c r="I155" s="90"/>
      <c r="J155" s="90"/>
      <c r="K155" s="90"/>
      <c r="L155" s="90"/>
      <c r="M155" s="90"/>
      <c r="N155" s="21"/>
      <c r="U155" s="21"/>
      <c r="W155" s="22">
        <v>1</v>
      </c>
      <c r="AB155" s="21"/>
      <c r="AH155" s="7"/>
      <c r="AJ155" s="101"/>
    </row>
    <row r="156" spans="1:36" ht="18.75" customHeight="1" x14ac:dyDescent="0.2">
      <c r="A156" s="82">
        <v>150</v>
      </c>
      <c r="B156" s="74"/>
      <c r="C156" s="74"/>
      <c r="D156" s="74"/>
      <c r="E156" s="74"/>
      <c r="F156" s="64" t="s">
        <v>195</v>
      </c>
      <c r="G156" s="64"/>
      <c r="H156" s="90"/>
      <c r="I156" s="90"/>
      <c r="J156" s="90"/>
      <c r="K156" s="90"/>
      <c r="L156" s="90"/>
      <c r="M156" s="90"/>
      <c r="N156" s="21"/>
      <c r="U156" s="21"/>
      <c r="W156" s="22">
        <v>3</v>
      </c>
      <c r="AB156" s="21"/>
      <c r="AH156" s="7"/>
      <c r="AJ156" s="101"/>
    </row>
    <row r="157" spans="1:36" ht="19.5" customHeight="1" thickBot="1" x14ac:dyDescent="0.55000000000000004">
      <c r="A157" s="82">
        <v>151</v>
      </c>
      <c r="B157" s="77"/>
      <c r="C157" s="77"/>
      <c r="D157" s="77"/>
      <c r="E157" s="77"/>
      <c r="F157" s="97" t="s">
        <v>196</v>
      </c>
      <c r="G157" s="78"/>
      <c r="H157" s="25"/>
      <c r="I157" s="25"/>
      <c r="J157" s="25"/>
      <c r="K157" s="25"/>
      <c r="L157" s="25"/>
      <c r="M157" s="25"/>
      <c r="N157" s="26"/>
      <c r="O157" s="27"/>
      <c r="P157" s="27"/>
      <c r="Q157" s="27"/>
      <c r="R157" s="27"/>
      <c r="S157" s="27"/>
      <c r="T157" s="3"/>
      <c r="U157" s="26"/>
      <c r="V157" s="27"/>
      <c r="W157" s="27">
        <v>1</v>
      </c>
      <c r="X157" s="27"/>
      <c r="Y157" s="27"/>
      <c r="Z157" s="27"/>
      <c r="AA157" s="3"/>
      <c r="AB157" s="26"/>
      <c r="AC157" s="27"/>
      <c r="AD157" s="27"/>
      <c r="AE157" s="27"/>
      <c r="AF157" s="27"/>
      <c r="AG157" s="27"/>
      <c r="AH157" s="28"/>
      <c r="AJ157" s="101"/>
    </row>
    <row r="158" spans="1:36" ht="18.75" customHeight="1" thickTop="1" x14ac:dyDescent="0.2">
      <c r="A158" s="82">
        <v>152</v>
      </c>
      <c r="B158" s="82"/>
      <c r="C158" s="82"/>
      <c r="D158" s="82"/>
      <c r="E158" s="82"/>
      <c r="F158" s="64" t="s">
        <v>197</v>
      </c>
      <c r="G158" s="73" t="s">
        <v>48</v>
      </c>
      <c r="H158" s="7"/>
      <c r="I158" s="90"/>
      <c r="J158" s="90"/>
      <c r="K158" s="90"/>
      <c r="L158" s="90"/>
      <c r="M158" s="90"/>
      <c r="N158" s="21"/>
      <c r="U158" s="21"/>
      <c r="W158" s="22">
        <v>2</v>
      </c>
      <c r="AB158" s="21"/>
      <c r="AH158" s="7"/>
      <c r="AJ158" s="101"/>
    </row>
    <row r="159" spans="1:36" ht="18.75" customHeight="1" x14ac:dyDescent="0.2">
      <c r="A159" s="82">
        <v>153</v>
      </c>
      <c r="B159" s="82"/>
      <c r="C159" s="82"/>
      <c r="D159" s="82"/>
      <c r="E159" s="87"/>
      <c r="F159" s="64" t="s">
        <v>198</v>
      </c>
      <c r="G159" s="76"/>
      <c r="H159" s="90"/>
      <c r="I159" s="90"/>
      <c r="J159" s="33"/>
      <c r="K159" s="33"/>
      <c r="L159" s="33"/>
      <c r="M159" s="33"/>
      <c r="N159" s="34"/>
      <c r="O159" s="35"/>
      <c r="P159" s="35"/>
      <c r="Q159" s="35"/>
      <c r="R159" s="35"/>
      <c r="S159" s="35"/>
      <c r="T159" s="36"/>
      <c r="U159" s="34"/>
      <c r="V159" s="35"/>
      <c r="W159" s="35">
        <v>3</v>
      </c>
      <c r="X159" s="35"/>
      <c r="Y159" s="35"/>
      <c r="Z159" s="35"/>
      <c r="AA159" s="36"/>
      <c r="AB159" s="34"/>
      <c r="AC159" s="35"/>
      <c r="AD159" s="35"/>
      <c r="AE159" s="35"/>
      <c r="AF159" s="35"/>
      <c r="AG159" s="35"/>
      <c r="AH159" s="37"/>
      <c r="AJ159" s="101"/>
    </row>
    <row r="160" spans="1:36" ht="18.75" customHeight="1" x14ac:dyDescent="0.2">
      <c r="A160" s="82">
        <v>154</v>
      </c>
      <c r="B160" s="74"/>
      <c r="C160" s="74"/>
      <c r="D160" s="74"/>
      <c r="E160" s="74"/>
      <c r="F160" s="98" t="s">
        <v>199</v>
      </c>
      <c r="G160" s="104"/>
      <c r="H160" s="90"/>
      <c r="I160" s="90"/>
      <c r="J160" s="90"/>
      <c r="K160" s="90"/>
      <c r="L160" s="90"/>
      <c r="M160" s="90"/>
      <c r="N160" s="21"/>
      <c r="U160" s="21"/>
      <c r="W160" s="22">
        <v>2</v>
      </c>
      <c r="AB160" s="21"/>
      <c r="AH160" s="7"/>
      <c r="AJ160" s="101"/>
    </row>
    <row r="161" spans="1:36" ht="18.75" customHeight="1" x14ac:dyDescent="0.2">
      <c r="A161" s="82">
        <v>155</v>
      </c>
      <c r="B161" s="74"/>
      <c r="C161" s="74"/>
      <c r="D161" s="74"/>
      <c r="E161" s="74"/>
      <c r="F161" s="64" t="s">
        <v>200</v>
      </c>
      <c r="G161" s="64"/>
      <c r="H161" s="90"/>
      <c r="I161" s="90"/>
      <c r="J161" s="90"/>
      <c r="K161" s="90"/>
      <c r="L161" s="90"/>
      <c r="M161" s="90"/>
      <c r="N161" s="21"/>
      <c r="U161" s="21"/>
      <c r="W161" s="22">
        <v>2</v>
      </c>
      <c r="Y161" s="22">
        <v>2</v>
      </c>
      <c r="AB161" s="21"/>
      <c r="AH161" s="7"/>
      <c r="AJ161" s="101"/>
    </row>
    <row r="162" spans="1:36" ht="19.5" customHeight="1" thickBot="1" x14ac:dyDescent="0.55000000000000004">
      <c r="A162" s="82">
        <v>156</v>
      </c>
      <c r="B162" s="77"/>
      <c r="C162" s="77"/>
      <c r="D162" s="77"/>
      <c r="E162" s="77"/>
      <c r="F162" s="97" t="s">
        <v>201</v>
      </c>
      <c r="G162" s="78"/>
      <c r="H162" s="25"/>
      <c r="I162" s="25"/>
      <c r="J162" s="25"/>
      <c r="K162" s="25"/>
      <c r="L162" s="25"/>
      <c r="M162" s="25"/>
      <c r="N162" s="26"/>
      <c r="O162" s="27"/>
      <c r="P162" s="27"/>
      <c r="Q162" s="27"/>
      <c r="R162" s="27"/>
      <c r="S162" s="27"/>
      <c r="T162" s="3"/>
      <c r="U162" s="26"/>
      <c r="V162" s="27"/>
      <c r="W162" s="27">
        <v>6</v>
      </c>
      <c r="X162" s="27"/>
      <c r="Y162" s="27"/>
      <c r="Z162" s="27"/>
      <c r="AA162" s="3"/>
      <c r="AB162" s="26"/>
      <c r="AC162" s="27"/>
      <c r="AD162" s="27"/>
      <c r="AE162" s="27"/>
      <c r="AF162" s="27"/>
      <c r="AG162" s="27"/>
      <c r="AH162" s="28"/>
      <c r="AJ162" s="101"/>
    </row>
    <row r="163" spans="1:36" ht="18.75" customHeight="1" thickTop="1" x14ac:dyDescent="0.2">
      <c r="A163" s="82">
        <v>157</v>
      </c>
      <c r="B163" s="82"/>
      <c r="C163" s="82"/>
      <c r="D163" s="82"/>
      <c r="E163" s="82"/>
      <c r="F163" s="64" t="s">
        <v>202</v>
      </c>
      <c r="G163" s="73" t="s">
        <v>48</v>
      </c>
      <c r="H163" s="7"/>
      <c r="I163" s="90"/>
      <c r="J163" s="90"/>
      <c r="K163" s="90"/>
      <c r="L163" s="90"/>
      <c r="M163" s="90"/>
      <c r="N163" s="21"/>
      <c r="U163" s="21"/>
      <c r="W163" s="22">
        <v>1</v>
      </c>
      <c r="AB163" s="21"/>
      <c r="AH163" s="7"/>
      <c r="AJ163" s="101"/>
    </row>
    <row r="164" spans="1:36" ht="18.75" customHeight="1" x14ac:dyDescent="0.2">
      <c r="A164" s="82">
        <v>158</v>
      </c>
      <c r="B164" s="82"/>
      <c r="C164" s="82"/>
      <c r="D164" s="82"/>
      <c r="E164" s="87"/>
      <c r="F164" s="64" t="s">
        <v>203</v>
      </c>
      <c r="G164" s="76"/>
      <c r="H164" s="90"/>
      <c r="I164" s="90"/>
      <c r="J164" s="33"/>
      <c r="K164" s="33"/>
      <c r="L164" s="33"/>
      <c r="M164" s="33"/>
      <c r="N164" s="34"/>
      <c r="O164" s="35"/>
      <c r="P164" s="35"/>
      <c r="Q164" s="35"/>
      <c r="R164" s="35"/>
      <c r="S164" s="35"/>
      <c r="T164" s="36"/>
      <c r="U164" s="34"/>
      <c r="V164" s="35"/>
      <c r="W164" s="35">
        <v>2</v>
      </c>
      <c r="X164" s="35"/>
      <c r="Y164" s="35"/>
      <c r="Z164" s="35"/>
      <c r="AA164" s="36"/>
      <c r="AB164" s="34"/>
      <c r="AC164" s="35"/>
      <c r="AD164" s="35"/>
      <c r="AE164" s="35"/>
      <c r="AF164" s="35"/>
      <c r="AG164" s="35"/>
      <c r="AH164" s="37"/>
      <c r="AJ164" s="101"/>
    </row>
    <row r="165" spans="1:36" ht="18.75" customHeight="1" x14ac:dyDescent="0.2">
      <c r="A165" s="82">
        <v>159</v>
      </c>
      <c r="B165" s="74"/>
      <c r="C165" s="74"/>
      <c r="D165" s="74"/>
      <c r="E165" s="74"/>
      <c r="F165" s="98" t="s">
        <v>204</v>
      </c>
      <c r="G165" s="104"/>
      <c r="H165" s="90"/>
      <c r="I165" s="90"/>
      <c r="J165" s="90"/>
      <c r="K165" s="90"/>
      <c r="L165" s="90"/>
      <c r="M165" s="90"/>
      <c r="N165" s="21"/>
      <c r="U165" s="21"/>
      <c r="X165" s="22">
        <v>2</v>
      </c>
      <c r="AB165" s="21"/>
      <c r="AH165" s="7"/>
      <c r="AJ165" s="101"/>
    </row>
    <row r="166" spans="1:36" ht="18.75" customHeight="1" x14ac:dyDescent="0.2">
      <c r="A166" s="82">
        <v>160</v>
      </c>
      <c r="B166" s="74"/>
      <c r="C166" s="74"/>
      <c r="D166" s="74"/>
      <c r="E166" s="74"/>
      <c r="F166" s="64" t="s">
        <v>205</v>
      </c>
      <c r="G166" s="64"/>
      <c r="H166" s="90"/>
      <c r="I166" s="90"/>
      <c r="J166" s="90"/>
      <c r="K166" s="90"/>
      <c r="L166" s="90"/>
      <c r="M166" s="90"/>
      <c r="N166" s="21"/>
      <c r="U166" s="21"/>
      <c r="X166" s="22">
        <v>1</v>
      </c>
      <c r="AB166" s="21"/>
      <c r="AH166" s="7"/>
      <c r="AJ166" s="101"/>
    </row>
    <row r="167" spans="1:36" ht="19.5" customHeight="1" thickBot="1" x14ac:dyDescent="0.55000000000000004">
      <c r="A167" s="82">
        <v>161</v>
      </c>
      <c r="B167" s="77"/>
      <c r="C167" s="77"/>
      <c r="D167" s="77"/>
      <c r="E167" s="77"/>
      <c r="F167" s="97" t="s">
        <v>206</v>
      </c>
      <c r="G167" s="78"/>
      <c r="H167" s="25"/>
      <c r="I167" s="25"/>
      <c r="J167" s="25"/>
      <c r="K167" s="25"/>
      <c r="L167" s="25"/>
      <c r="M167" s="25"/>
      <c r="N167" s="26"/>
      <c r="O167" s="27"/>
      <c r="P167" s="27"/>
      <c r="Q167" s="27"/>
      <c r="R167" s="27"/>
      <c r="S167" s="27"/>
      <c r="T167" s="3"/>
      <c r="U167" s="26"/>
      <c r="V167" s="27"/>
      <c r="W167" s="27"/>
      <c r="X167" s="27">
        <v>1</v>
      </c>
      <c r="Y167" s="27"/>
      <c r="Z167" s="27"/>
      <c r="AA167" s="3"/>
      <c r="AB167" s="26"/>
      <c r="AC167" s="27"/>
      <c r="AD167" s="27"/>
      <c r="AE167" s="27"/>
      <c r="AF167" s="27"/>
      <c r="AG167" s="27"/>
      <c r="AH167" s="28"/>
      <c r="AJ167" s="101"/>
    </row>
    <row r="168" spans="1:36" ht="18.75" customHeight="1" thickTop="1" x14ac:dyDescent="0.2">
      <c r="A168" s="82">
        <v>162</v>
      </c>
      <c r="B168" s="82"/>
      <c r="C168" s="82"/>
      <c r="D168" s="82"/>
      <c r="E168" s="82"/>
      <c r="F168" s="64" t="s">
        <v>207</v>
      </c>
      <c r="G168" s="73" t="s">
        <v>48</v>
      </c>
      <c r="H168" s="7"/>
      <c r="I168" s="90"/>
      <c r="J168" s="90"/>
      <c r="K168" s="90"/>
      <c r="L168" s="90"/>
      <c r="M168" s="90"/>
      <c r="N168" s="21"/>
      <c r="U168" s="21"/>
      <c r="X168" s="22">
        <v>2</v>
      </c>
      <c r="AB168" s="21"/>
      <c r="AH168" s="7"/>
      <c r="AJ168" s="101"/>
    </row>
    <row r="169" spans="1:36" ht="18.75" customHeight="1" x14ac:dyDescent="0.2">
      <c r="A169" s="82">
        <v>163</v>
      </c>
      <c r="B169" s="82"/>
      <c r="C169" s="82"/>
      <c r="D169" s="82"/>
      <c r="E169" s="87"/>
      <c r="F169" s="64" t="s">
        <v>208</v>
      </c>
      <c r="G169" s="76"/>
      <c r="H169" s="90"/>
      <c r="I169" s="90"/>
      <c r="J169" s="33"/>
      <c r="K169" s="33"/>
      <c r="L169" s="33"/>
      <c r="M169" s="33"/>
      <c r="N169" s="34"/>
      <c r="O169" s="35"/>
      <c r="P169" s="35"/>
      <c r="Q169" s="35"/>
      <c r="R169" s="35"/>
      <c r="S169" s="35"/>
      <c r="T169" s="36"/>
      <c r="U169" s="34"/>
      <c r="V169" s="35"/>
      <c r="W169" s="35"/>
      <c r="X169" s="35">
        <v>1</v>
      </c>
      <c r="Y169" s="35"/>
      <c r="Z169" s="35"/>
      <c r="AA169" s="36"/>
      <c r="AB169" s="34"/>
      <c r="AC169" s="35"/>
      <c r="AD169" s="35"/>
      <c r="AE169" s="35"/>
      <c r="AF169" s="35"/>
      <c r="AG169" s="35"/>
      <c r="AH169" s="37"/>
      <c r="AJ169" s="101"/>
    </row>
    <row r="170" spans="1:36" ht="18.75" customHeight="1" x14ac:dyDescent="0.2">
      <c r="A170" s="82">
        <v>164</v>
      </c>
      <c r="B170" s="74"/>
      <c r="C170" s="74"/>
      <c r="D170" s="74"/>
      <c r="E170" s="74"/>
      <c r="F170" s="98" t="s">
        <v>209</v>
      </c>
      <c r="G170" s="104"/>
      <c r="H170" s="90"/>
      <c r="I170" s="90"/>
      <c r="J170" s="90"/>
      <c r="K170" s="90"/>
      <c r="L170" s="90"/>
      <c r="M170" s="90"/>
      <c r="N170" s="21"/>
      <c r="U170" s="21"/>
      <c r="X170" s="22">
        <v>1</v>
      </c>
      <c r="AB170" s="21"/>
      <c r="AH170" s="7"/>
      <c r="AJ170" s="101"/>
    </row>
    <row r="171" spans="1:36" ht="18.75" customHeight="1" x14ac:dyDescent="0.2">
      <c r="A171" s="82">
        <v>165</v>
      </c>
      <c r="B171" s="74"/>
      <c r="C171" s="74"/>
      <c r="D171" s="74"/>
      <c r="E171" s="74"/>
      <c r="F171" s="64" t="s">
        <v>210</v>
      </c>
      <c r="G171" s="64"/>
      <c r="H171" s="90"/>
      <c r="I171" s="90"/>
      <c r="J171" s="90"/>
      <c r="K171" s="90"/>
      <c r="L171" s="90"/>
      <c r="M171" s="90"/>
      <c r="N171" s="21"/>
      <c r="U171" s="21"/>
      <c r="X171" s="22">
        <v>2</v>
      </c>
      <c r="AB171" s="21"/>
      <c r="AH171" s="7"/>
      <c r="AJ171" s="101"/>
    </row>
    <row r="172" spans="1:36" ht="19.5" customHeight="1" thickBot="1" x14ac:dyDescent="0.55000000000000004">
      <c r="A172" s="82">
        <v>166</v>
      </c>
      <c r="B172" s="77"/>
      <c r="C172" s="77"/>
      <c r="D172" s="77"/>
      <c r="E172" s="77"/>
      <c r="F172" s="97" t="s">
        <v>211</v>
      </c>
      <c r="G172" s="78"/>
      <c r="H172" s="25"/>
      <c r="I172" s="25"/>
      <c r="J172" s="25"/>
      <c r="K172" s="25"/>
      <c r="L172" s="25"/>
      <c r="M172" s="25"/>
      <c r="N172" s="26"/>
      <c r="O172" s="27"/>
      <c r="P172" s="27"/>
      <c r="Q172" s="27"/>
      <c r="R172" s="27"/>
      <c r="S172" s="27"/>
      <c r="T172" s="3"/>
      <c r="U172" s="26"/>
      <c r="V172" s="27"/>
      <c r="W172" s="27"/>
      <c r="X172" s="27"/>
      <c r="Y172" s="27"/>
      <c r="Z172" s="27"/>
      <c r="AA172" s="3"/>
      <c r="AB172" s="26"/>
      <c r="AC172" s="27"/>
      <c r="AD172" s="27"/>
      <c r="AE172" s="27"/>
      <c r="AF172" s="27"/>
      <c r="AG172" s="27"/>
      <c r="AH172" s="28"/>
      <c r="AJ172" s="101"/>
    </row>
    <row r="173" spans="1:36" ht="18.75" customHeight="1" thickTop="1" x14ac:dyDescent="0.2">
      <c r="A173" s="82">
        <v>167</v>
      </c>
      <c r="B173" s="82"/>
      <c r="C173" s="82"/>
      <c r="D173" s="82"/>
      <c r="E173" s="82"/>
      <c r="F173" s="64" t="s">
        <v>212</v>
      </c>
      <c r="G173" s="73" t="s">
        <v>48</v>
      </c>
      <c r="H173" s="7"/>
      <c r="I173" s="90"/>
      <c r="J173" s="90"/>
      <c r="K173" s="90"/>
      <c r="L173" s="90"/>
      <c r="M173" s="90"/>
      <c r="N173" s="21"/>
      <c r="U173" s="21"/>
      <c r="X173" s="22">
        <v>2</v>
      </c>
      <c r="AB173" s="21"/>
      <c r="AH173" s="7"/>
      <c r="AJ173" s="101"/>
    </row>
    <row r="174" spans="1:36" ht="18.75" customHeight="1" x14ac:dyDescent="0.2">
      <c r="A174" s="82">
        <v>168</v>
      </c>
      <c r="B174" s="82"/>
      <c r="C174" s="82"/>
      <c r="D174" s="82"/>
      <c r="E174" s="87"/>
      <c r="F174" s="64" t="s">
        <v>213</v>
      </c>
      <c r="G174" s="76"/>
      <c r="H174" s="90"/>
      <c r="I174" s="90"/>
      <c r="J174" s="33"/>
      <c r="K174" s="33"/>
      <c r="L174" s="33"/>
      <c r="M174" s="33"/>
      <c r="N174" s="34"/>
      <c r="O174" s="35"/>
      <c r="P174" s="35"/>
      <c r="Q174" s="35"/>
      <c r="R174" s="35"/>
      <c r="S174" s="35"/>
      <c r="T174" s="36"/>
      <c r="U174" s="34"/>
      <c r="V174" s="35"/>
      <c r="W174" s="35"/>
      <c r="X174" s="35">
        <v>1</v>
      </c>
      <c r="Y174" s="35"/>
      <c r="Z174" s="35"/>
      <c r="AA174" s="36"/>
      <c r="AB174" s="34"/>
      <c r="AC174" s="35"/>
      <c r="AD174" s="35"/>
      <c r="AE174" s="35"/>
      <c r="AF174" s="35"/>
      <c r="AG174" s="35"/>
      <c r="AH174" s="37"/>
      <c r="AJ174" s="101"/>
    </row>
    <row r="175" spans="1:36" ht="18.75" customHeight="1" x14ac:dyDescent="0.2">
      <c r="A175" s="82">
        <v>169</v>
      </c>
      <c r="B175" s="74"/>
      <c r="C175" s="74"/>
      <c r="D175" s="74"/>
      <c r="E175" s="74"/>
      <c r="F175" s="98" t="s">
        <v>214</v>
      </c>
      <c r="G175" s="104"/>
      <c r="H175" s="90"/>
      <c r="I175" s="90"/>
      <c r="J175" s="90"/>
      <c r="K175" s="90"/>
      <c r="L175" s="90"/>
      <c r="M175" s="90"/>
      <c r="N175" s="21"/>
      <c r="U175" s="21"/>
      <c r="X175" s="22">
        <v>1</v>
      </c>
      <c r="AB175" s="21"/>
      <c r="AH175" s="7"/>
      <c r="AJ175" s="101"/>
    </row>
    <row r="176" spans="1:36" ht="18.75" customHeight="1" x14ac:dyDescent="0.2">
      <c r="A176" s="82">
        <v>170</v>
      </c>
      <c r="B176" s="74"/>
      <c r="C176" s="74"/>
      <c r="D176" s="74"/>
      <c r="E176" s="74"/>
      <c r="F176" s="64" t="s">
        <v>215</v>
      </c>
      <c r="G176" s="64"/>
      <c r="H176" s="90"/>
      <c r="I176" s="90"/>
      <c r="J176" s="90"/>
      <c r="K176" s="90"/>
      <c r="L176" s="90"/>
      <c r="M176" s="90"/>
      <c r="N176" s="21"/>
      <c r="U176" s="21"/>
      <c r="Y176" s="22">
        <v>1</v>
      </c>
      <c r="AB176" s="21"/>
      <c r="AH176" s="7"/>
      <c r="AJ176" s="101"/>
    </row>
    <row r="177" spans="1:36" ht="19.5" customHeight="1" thickBot="1" x14ac:dyDescent="0.55000000000000004">
      <c r="A177" s="82">
        <v>171</v>
      </c>
      <c r="B177" s="77"/>
      <c r="C177" s="77"/>
      <c r="D177" s="77"/>
      <c r="E177" s="77"/>
      <c r="F177" s="97" t="s">
        <v>216</v>
      </c>
      <c r="G177" s="78"/>
      <c r="H177" s="25"/>
      <c r="I177" s="25"/>
      <c r="J177" s="25"/>
      <c r="K177" s="25"/>
      <c r="L177" s="25"/>
      <c r="M177" s="25"/>
      <c r="N177" s="26"/>
      <c r="O177" s="27"/>
      <c r="P177" s="27"/>
      <c r="Q177" s="27"/>
      <c r="R177" s="27"/>
      <c r="S177" s="27"/>
      <c r="T177" s="3"/>
      <c r="U177" s="26"/>
      <c r="V177" s="27"/>
      <c r="W177" s="27"/>
      <c r="X177" s="27"/>
      <c r="Y177" s="27">
        <v>1</v>
      </c>
      <c r="Z177" s="27"/>
      <c r="AA177" s="3"/>
      <c r="AB177" s="26"/>
      <c r="AC177" s="27"/>
      <c r="AD177" s="27"/>
      <c r="AE177" s="27"/>
      <c r="AF177" s="27"/>
      <c r="AG177" s="27"/>
      <c r="AH177" s="28"/>
      <c r="AJ177" s="101"/>
    </row>
    <row r="178" spans="1:36" ht="18.75" customHeight="1" thickTop="1" x14ac:dyDescent="0.2">
      <c r="A178" s="82">
        <v>172</v>
      </c>
      <c r="B178" s="82"/>
      <c r="C178" s="82"/>
      <c r="D178" s="82"/>
      <c r="E178" s="82"/>
      <c r="F178" s="64" t="s">
        <v>217</v>
      </c>
      <c r="G178" s="73"/>
      <c r="H178" s="7"/>
      <c r="I178" s="90"/>
      <c r="J178" s="90"/>
      <c r="K178" s="90"/>
      <c r="L178" s="90"/>
      <c r="M178" s="90"/>
      <c r="N178" s="21"/>
      <c r="U178" s="21"/>
      <c r="Y178" s="22">
        <v>1</v>
      </c>
      <c r="AB178" s="21"/>
      <c r="AH178" s="7"/>
      <c r="AJ178" s="101"/>
    </row>
    <row r="179" spans="1:36" ht="18.75" customHeight="1" x14ac:dyDescent="0.2">
      <c r="A179" s="82">
        <v>173</v>
      </c>
      <c r="B179" s="82"/>
      <c r="C179" s="82"/>
      <c r="D179" s="82"/>
      <c r="E179" s="87"/>
      <c r="F179" s="64" t="s">
        <v>218</v>
      </c>
      <c r="G179" s="76"/>
      <c r="H179" s="90"/>
      <c r="I179" s="90"/>
      <c r="J179" s="33"/>
      <c r="K179" s="33"/>
      <c r="L179" s="33"/>
      <c r="M179" s="33"/>
      <c r="N179" s="34"/>
      <c r="O179" s="35"/>
      <c r="P179" s="35"/>
      <c r="Q179" s="35"/>
      <c r="R179" s="35"/>
      <c r="S179" s="35"/>
      <c r="T179" s="36"/>
      <c r="U179" s="34"/>
      <c r="V179" s="35"/>
      <c r="W179" s="35"/>
      <c r="X179" s="35"/>
      <c r="Y179" s="35">
        <v>1</v>
      </c>
      <c r="Z179" s="35">
        <v>1</v>
      </c>
      <c r="AA179" s="36"/>
      <c r="AB179" s="34"/>
      <c r="AC179" s="35"/>
      <c r="AD179" s="35"/>
      <c r="AE179" s="35"/>
      <c r="AF179" s="35"/>
      <c r="AG179" s="35"/>
      <c r="AH179" s="37"/>
      <c r="AJ179" s="101"/>
    </row>
    <row r="180" spans="1:36" ht="18.75" customHeight="1" x14ac:dyDescent="0.2">
      <c r="A180" s="82">
        <v>174</v>
      </c>
      <c r="B180" s="74"/>
      <c r="C180" s="74"/>
      <c r="D180" s="74"/>
      <c r="E180" s="74"/>
      <c r="F180" s="64" t="s">
        <v>219</v>
      </c>
      <c r="G180" s="64"/>
      <c r="H180" s="90"/>
      <c r="I180" s="90"/>
      <c r="J180" s="90"/>
      <c r="K180" s="90"/>
      <c r="L180" s="90"/>
      <c r="M180" s="90"/>
      <c r="N180" s="21"/>
      <c r="U180" s="21"/>
      <c r="Y180" s="22">
        <v>2</v>
      </c>
      <c r="AB180" s="21"/>
      <c r="AH180" s="7"/>
      <c r="AJ180" s="101"/>
    </row>
    <row r="181" spans="1:36" ht="19.5" customHeight="1" thickBot="1" x14ac:dyDescent="0.55000000000000004">
      <c r="A181" s="82">
        <v>175</v>
      </c>
      <c r="B181" s="77"/>
      <c r="C181" s="77"/>
      <c r="D181" s="77"/>
      <c r="E181" s="77"/>
      <c r="F181" s="97" t="s">
        <v>220</v>
      </c>
      <c r="G181" s="78"/>
      <c r="H181" s="25"/>
      <c r="I181" s="25"/>
      <c r="J181" s="25"/>
      <c r="K181" s="25"/>
      <c r="L181" s="25"/>
      <c r="M181" s="25"/>
      <c r="N181" s="26"/>
      <c r="O181" s="27"/>
      <c r="P181" s="27"/>
      <c r="Q181" s="27"/>
      <c r="R181" s="27"/>
      <c r="S181" s="27"/>
      <c r="T181" s="3"/>
      <c r="U181" s="26"/>
      <c r="V181" s="27"/>
      <c r="W181" s="27"/>
      <c r="X181" s="27"/>
      <c r="Y181" s="27">
        <v>2</v>
      </c>
      <c r="Z181" s="27"/>
      <c r="AA181" s="3"/>
      <c r="AB181" s="26"/>
      <c r="AC181" s="27"/>
      <c r="AD181" s="27"/>
      <c r="AE181" s="27"/>
      <c r="AF181" s="27"/>
      <c r="AG181" s="27"/>
      <c r="AH181" s="28"/>
      <c r="AJ181" s="101"/>
    </row>
    <row r="182" spans="1:36" ht="18.75" customHeight="1" thickTop="1" x14ac:dyDescent="0.2">
      <c r="A182" s="82">
        <v>176</v>
      </c>
      <c r="B182" s="82"/>
      <c r="C182" s="82"/>
      <c r="D182" s="82"/>
      <c r="E182" s="82"/>
      <c r="F182" s="64" t="s">
        <v>221</v>
      </c>
      <c r="G182" s="73"/>
      <c r="H182" s="7"/>
      <c r="I182" s="90"/>
      <c r="J182" s="90"/>
      <c r="K182" s="90"/>
      <c r="L182" s="90"/>
      <c r="M182" s="90"/>
      <c r="N182" s="21"/>
      <c r="U182" s="21"/>
      <c r="Y182" s="22">
        <v>2</v>
      </c>
      <c r="AB182" s="21"/>
      <c r="AH182" s="7"/>
      <c r="AJ182" s="101"/>
    </row>
    <row r="183" spans="1:36" ht="18.75" customHeight="1" x14ac:dyDescent="0.2">
      <c r="A183" s="82">
        <v>177</v>
      </c>
      <c r="B183" s="82"/>
      <c r="C183" s="82"/>
      <c r="D183" s="82"/>
      <c r="E183" s="87"/>
      <c r="F183" s="64" t="s">
        <v>222</v>
      </c>
      <c r="G183" s="76"/>
      <c r="H183" s="90"/>
      <c r="I183" s="90"/>
      <c r="J183" s="33"/>
      <c r="K183" s="33"/>
      <c r="L183" s="33"/>
      <c r="M183" s="33"/>
      <c r="N183" s="34"/>
      <c r="O183" s="35"/>
      <c r="P183" s="35"/>
      <c r="Q183" s="35"/>
      <c r="R183" s="35"/>
      <c r="S183" s="35"/>
      <c r="T183" s="36"/>
      <c r="U183" s="34"/>
      <c r="V183" s="35"/>
      <c r="W183" s="35"/>
      <c r="X183" s="35"/>
      <c r="Y183" s="35">
        <v>2</v>
      </c>
      <c r="Z183" s="35"/>
      <c r="AA183" s="36"/>
      <c r="AB183" s="34"/>
      <c r="AC183" s="35"/>
      <c r="AD183" s="35"/>
      <c r="AE183" s="35"/>
      <c r="AF183" s="35"/>
      <c r="AG183" s="35"/>
      <c r="AH183" s="37"/>
      <c r="AJ183" s="101"/>
    </row>
    <row r="184" spans="1:36" ht="18.75" customHeight="1" x14ac:dyDescent="0.2">
      <c r="A184" s="82">
        <v>178</v>
      </c>
      <c r="B184" s="74"/>
      <c r="C184" s="74"/>
      <c r="D184" s="74"/>
      <c r="E184" s="74"/>
      <c r="F184" s="98" t="s">
        <v>223</v>
      </c>
      <c r="G184" s="104"/>
      <c r="H184" s="90"/>
      <c r="I184" s="90"/>
      <c r="J184" s="90"/>
      <c r="K184" s="90"/>
      <c r="L184" s="90"/>
      <c r="M184" s="90"/>
      <c r="N184" s="21"/>
      <c r="U184" s="21"/>
      <c r="Y184" s="22">
        <v>2</v>
      </c>
      <c r="AB184" s="21"/>
      <c r="AH184" s="7"/>
      <c r="AJ184" s="101"/>
    </row>
    <row r="185" spans="1:36" ht="18.75" customHeight="1" x14ac:dyDescent="0.2">
      <c r="A185" s="82">
        <v>179</v>
      </c>
      <c r="B185" s="74"/>
      <c r="C185" s="74"/>
      <c r="D185" s="74"/>
      <c r="E185" s="74"/>
      <c r="F185" s="64" t="s">
        <v>224</v>
      </c>
      <c r="G185" s="64"/>
      <c r="H185" s="90"/>
      <c r="I185" s="90"/>
      <c r="J185" s="90"/>
      <c r="K185" s="90"/>
      <c r="L185" s="90"/>
      <c r="M185" s="90"/>
      <c r="N185" s="21"/>
      <c r="U185" s="21"/>
      <c r="Y185" s="22">
        <v>2</v>
      </c>
      <c r="AA185" s="94">
        <v>2</v>
      </c>
      <c r="AB185" s="21"/>
      <c r="AH185" s="7"/>
      <c r="AJ185" s="101"/>
    </row>
    <row r="186" spans="1:36" ht="19.5" customHeight="1" thickBot="1" x14ac:dyDescent="0.55000000000000004">
      <c r="A186" s="82">
        <v>180</v>
      </c>
      <c r="B186" s="77"/>
      <c r="C186" s="77"/>
      <c r="D186" s="77"/>
      <c r="E186" s="77"/>
      <c r="F186" s="97" t="s">
        <v>225</v>
      </c>
      <c r="G186" s="78"/>
      <c r="H186" s="25"/>
      <c r="I186" s="25"/>
      <c r="J186" s="25"/>
      <c r="K186" s="25"/>
      <c r="L186" s="25"/>
      <c r="M186" s="25"/>
      <c r="N186" s="26"/>
      <c r="O186" s="27"/>
      <c r="P186" s="27"/>
      <c r="Q186" s="27"/>
      <c r="R186" s="27"/>
      <c r="S186" s="27"/>
      <c r="T186" s="3"/>
      <c r="U186" s="26"/>
      <c r="V186" s="27"/>
      <c r="W186" s="27"/>
      <c r="X186" s="27"/>
      <c r="Y186" s="27">
        <v>2</v>
      </c>
      <c r="Z186" s="27"/>
      <c r="AA186" s="3"/>
      <c r="AB186" s="26"/>
      <c r="AC186" s="27"/>
      <c r="AD186" s="27"/>
      <c r="AE186" s="27"/>
      <c r="AF186" s="27"/>
      <c r="AG186" s="27"/>
      <c r="AH186" s="28"/>
      <c r="AJ186" s="101"/>
    </row>
    <row r="187" spans="1:36" ht="18.75" customHeight="1" thickTop="1" x14ac:dyDescent="0.2">
      <c r="A187" s="82">
        <v>181</v>
      </c>
      <c r="B187" s="82"/>
      <c r="C187" s="82"/>
      <c r="D187" s="82"/>
      <c r="E187" s="82"/>
      <c r="F187" s="64" t="s">
        <v>226</v>
      </c>
      <c r="G187" s="73"/>
      <c r="H187" s="7"/>
      <c r="I187" s="90"/>
      <c r="J187" s="90"/>
      <c r="K187" s="90"/>
      <c r="L187" s="90"/>
      <c r="M187" s="90"/>
      <c r="N187" s="21"/>
      <c r="U187" s="21"/>
      <c r="Y187" s="22">
        <v>2</v>
      </c>
      <c r="AB187" s="21"/>
      <c r="AH187" s="7"/>
      <c r="AJ187" s="101"/>
    </row>
    <row r="188" spans="1:36" ht="18.75" customHeight="1" x14ac:dyDescent="0.2">
      <c r="A188" s="82">
        <v>182</v>
      </c>
      <c r="B188" s="82"/>
      <c r="C188" s="82"/>
      <c r="D188" s="82"/>
      <c r="E188" s="87"/>
      <c r="F188" s="64" t="s">
        <v>227</v>
      </c>
      <c r="G188" s="76"/>
      <c r="H188" s="90"/>
      <c r="I188" s="90"/>
      <c r="J188" s="33"/>
      <c r="K188" s="33"/>
      <c r="L188" s="33"/>
      <c r="M188" s="33"/>
      <c r="N188" s="34"/>
      <c r="O188" s="35"/>
      <c r="P188" s="35"/>
      <c r="Q188" s="35"/>
      <c r="R188" s="35"/>
      <c r="S188" s="35"/>
      <c r="T188" s="36"/>
      <c r="U188" s="34"/>
      <c r="V188" s="35"/>
      <c r="W188" s="35"/>
      <c r="X188" s="35"/>
      <c r="Y188" s="35">
        <v>3</v>
      </c>
      <c r="Z188" s="35"/>
      <c r="AA188" s="36"/>
      <c r="AB188" s="34"/>
      <c r="AC188" s="35"/>
      <c r="AD188" s="35"/>
      <c r="AE188" s="35"/>
      <c r="AF188" s="35"/>
      <c r="AG188" s="35"/>
      <c r="AH188" s="37"/>
      <c r="AJ188" s="101"/>
    </row>
    <row r="189" spans="1:36" ht="18.75" customHeight="1" x14ac:dyDescent="0.2">
      <c r="A189" s="82">
        <v>183</v>
      </c>
      <c r="B189" s="74"/>
      <c r="C189" s="74"/>
      <c r="D189" s="74"/>
      <c r="E189" s="74"/>
      <c r="F189" s="98" t="s">
        <v>228</v>
      </c>
      <c r="G189" s="104"/>
      <c r="H189" s="90"/>
      <c r="I189" s="90"/>
      <c r="J189" s="90"/>
      <c r="K189" s="90"/>
      <c r="L189" s="90"/>
      <c r="M189" s="90"/>
      <c r="N189" s="21"/>
      <c r="U189" s="21"/>
      <c r="Y189" s="22">
        <v>1</v>
      </c>
      <c r="AB189" s="21"/>
      <c r="AH189" s="7"/>
      <c r="AJ189" s="101"/>
    </row>
    <row r="190" spans="1:36" ht="18.75" customHeight="1" x14ac:dyDescent="0.2">
      <c r="A190" s="82">
        <v>184</v>
      </c>
      <c r="B190" s="74"/>
      <c r="C190" s="74"/>
      <c r="D190" s="74"/>
      <c r="E190" s="74"/>
      <c r="F190" s="64" t="s">
        <v>229</v>
      </c>
      <c r="G190" s="64"/>
      <c r="H190" s="90"/>
      <c r="I190" s="90"/>
      <c r="J190" s="90"/>
      <c r="K190" s="90"/>
      <c r="L190" s="90"/>
      <c r="M190" s="90"/>
      <c r="N190" s="21"/>
      <c r="U190" s="21"/>
      <c r="Y190" s="22">
        <v>2</v>
      </c>
      <c r="AB190" s="21"/>
      <c r="AH190" s="7"/>
      <c r="AJ190" s="101"/>
    </row>
    <row r="191" spans="1:36" ht="19.5" customHeight="1" thickBot="1" x14ac:dyDescent="0.55000000000000004">
      <c r="A191" s="82">
        <v>185</v>
      </c>
      <c r="B191" s="77"/>
      <c r="C191" s="77"/>
      <c r="D191" s="77"/>
      <c r="E191" s="77"/>
      <c r="F191" s="97" t="s">
        <v>230</v>
      </c>
      <c r="G191" s="78"/>
      <c r="H191" s="25"/>
      <c r="I191" s="25"/>
      <c r="J191" s="25"/>
      <c r="K191" s="25"/>
      <c r="L191" s="25"/>
      <c r="M191" s="25"/>
      <c r="N191" s="26"/>
      <c r="O191" s="27"/>
      <c r="P191" s="27"/>
      <c r="Q191" s="27"/>
      <c r="R191" s="27"/>
      <c r="S191" s="27"/>
      <c r="T191" s="3"/>
      <c r="U191" s="26"/>
      <c r="V191" s="27"/>
      <c r="W191" s="27"/>
      <c r="X191" s="27"/>
      <c r="Y191" s="27">
        <v>5</v>
      </c>
      <c r="Z191" s="27"/>
      <c r="AA191" s="3"/>
      <c r="AB191" s="26"/>
      <c r="AC191" s="27"/>
      <c r="AD191" s="27"/>
      <c r="AE191" s="27"/>
      <c r="AF191" s="27"/>
      <c r="AG191" s="27"/>
      <c r="AH191" s="28"/>
      <c r="AJ191" s="101"/>
    </row>
    <row r="192" spans="1:36" ht="18.75" customHeight="1" thickTop="1" x14ac:dyDescent="0.2">
      <c r="A192" s="82">
        <v>186</v>
      </c>
      <c r="B192" s="82"/>
      <c r="C192" s="82"/>
      <c r="D192" s="82"/>
      <c r="E192" s="82"/>
      <c r="F192" s="64" t="s">
        <v>231</v>
      </c>
      <c r="G192" s="73"/>
      <c r="H192" s="7"/>
      <c r="I192" s="90"/>
      <c r="J192" s="90"/>
      <c r="K192" s="90"/>
      <c r="L192" s="90"/>
      <c r="M192" s="90"/>
      <c r="N192" s="21"/>
      <c r="U192" s="21"/>
      <c r="Y192" s="22">
        <v>1</v>
      </c>
      <c r="AB192" s="21"/>
      <c r="AH192" s="7"/>
      <c r="AJ192" s="101"/>
    </row>
    <row r="193" spans="1:36" ht="18.75" customHeight="1" x14ac:dyDescent="0.2">
      <c r="A193" s="82">
        <v>187</v>
      </c>
      <c r="B193" s="82"/>
      <c r="C193" s="82"/>
      <c r="D193" s="82"/>
      <c r="E193" s="87"/>
      <c r="F193" s="64" t="s">
        <v>232</v>
      </c>
      <c r="G193" s="76"/>
      <c r="H193" s="90"/>
      <c r="I193" s="90"/>
      <c r="J193" s="33"/>
      <c r="K193" s="33"/>
      <c r="L193" s="33"/>
      <c r="M193" s="33"/>
      <c r="N193" s="34"/>
      <c r="O193" s="35"/>
      <c r="P193" s="35"/>
      <c r="Q193" s="35"/>
      <c r="R193" s="35"/>
      <c r="S193" s="35"/>
      <c r="T193" s="36"/>
      <c r="U193" s="34"/>
      <c r="V193" s="35"/>
      <c r="W193" s="35"/>
      <c r="X193" s="35"/>
      <c r="Y193" s="35">
        <v>1</v>
      </c>
      <c r="Z193" s="35"/>
      <c r="AA193" s="36"/>
      <c r="AB193" s="34"/>
      <c r="AC193" s="35"/>
      <c r="AD193" s="35"/>
      <c r="AE193" s="35"/>
      <c r="AF193" s="35"/>
      <c r="AG193" s="35"/>
      <c r="AH193" s="37"/>
      <c r="AJ193" s="101"/>
    </row>
    <row r="194" spans="1:36" ht="18.75" customHeight="1" x14ac:dyDescent="0.2">
      <c r="A194" s="82">
        <v>188</v>
      </c>
      <c r="B194" s="74"/>
      <c r="C194" s="74"/>
      <c r="D194" s="74"/>
      <c r="E194" s="74"/>
      <c r="F194" s="98" t="s">
        <v>233</v>
      </c>
      <c r="G194" s="104"/>
      <c r="H194" s="90"/>
      <c r="I194" s="90"/>
      <c r="J194" s="90"/>
      <c r="K194" s="90"/>
      <c r="L194" s="90"/>
      <c r="M194" s="90"/>
      <c r="N194" s="21"/>
      <c r="U194" s="21"/>
      <c r="Y194" s="22">
        <v>1</v>
      </c>
      <c r="AB194" s="21"/>
      <c r="AH194" s="7"/>
      <c r="AJ194" s="101"/>
    </row>
    <row r="195" spans="1:36" ht="18.75" customHeight="1" x14ac:dyDescent="0.2">
      <c r="A195" s="82">
        <v>189</v>
      </c>
      <c r="B195" s="74"/>
      <c r="C195" s="74"/>
      <c r="D195" s="74"/>
      <c r="E195" s="74"/>
      <c r="F195" s="64" t="s">
        <v>234</v>
      </c>
      <c r="G195" s="64"/>
      <c r="H195" s="90"/>
      <c r="I195" s="90"/>
      <c r="J195" s="90"/>
      <c r="K195" s="90"/>
      <c r="L195" s="90"/>
      <c r="M195" s="90"/>
      <c r="N195" s="21"/>
      <c r="U195" s="21"/>
      <c r="Y195" s="22">
        <v>2</v>
      </c>
      <c r="AA195" s="94">
        <v>1</v>
      </c>
      <c r="AB195" s="21"/>
      <c r="AH195" s="7"/>
      <c r="AJ195" s="101"/>
    </row>
    <row r="196" spans="1:36" ht="19.5" customHeight="1" thickBot="1" x14ac:dyDescent="0.55000000000000004">
      <c r="A196" s="82">
        <v>190</v>
      </c>
      <c r="B196" s="77"/>
      <c r="C196" s="77"/>
      <c r="D196" s="77"/>
      <c r="E196" s="77"/>
      <c r="F196" s="97" t="s">
        <v>235</v>
      </c>
      <c r="G196" s="78"/>
      <c r="H196" s="25"/>
      <c r="I196" s="25"/>
      <c r="J196" s="25"/>
      <c r="K196" s="25"/>
      <c r="L196" s="25"/>
      <c r="M196" s="25"/>
      <c r="N196" s="26"/>
      <c r="O196" s="27"/>
      <c r="P196" s="27"/>
      <c r="Q196" s="27"/>
      <c r="R196" s="27"/>
      <c r="S196" s="27"/>
      <c r="T196" s="3"/>
      <c r="U196" s="26"/>
      <c r="V196" s="27"/>
      <c r="W196" s="27"/>
      <c r="X196" s="27"/>
      <c r="Y196" s="27">
        <v>2</v>
      </c>
      <c r="Z196" s="27"/>
      <c r="AA196" s="3"/>
      <c r="AB196" s="26"/>
      <c r="AC196" s="27"/>
      <c r="AD196" s="27"/>
      <c r="AE196" s="27"/>
      <c r="AF196" s="27"/>
      <c r="AG196" s="27"/>
      <c r="AH196" s="28"/>
      <c r="AJ196" s="101"/>
    </row>
    <row r="197" spans="1:36" ht="18.75" customHeight="1" thickTop="1" x14ac:dyDescent="0.2">
      <c r="A197" s="82">
        <v>191</v>
      </c>
      <c r="B197" s="82"/>
      <c r="C197" s="82"/>
      <c r="D197" s="82"/>
      <c r="E197" s="82"/>
      <c r="F197" s="64" t="s">
        <v>236</v>
      </c>
      <c r="G197" s="73"/>
      <c r="H197" s="7"/>
      <c r="I197" s="90"/>
      <c r="J197" s="90"/>
      <c r="K197" s="90"/>
      <c r="L197" s="90"/>
      <c r="M197" s="90"/>
      <c r="N197" s="21"/>
      <c r="U197" s="21"/>
      <c r="Y197" s="22">
        <v>1</v>
      </c>
      <c r="AB197" s="21"/>
      <c r="AH197" s="7"/>
      <c r="AJ197" s="101"/>
    </row>
    <row r="198" spans="1:36" ht="18.75" customHeight="1" x14ac:dyDescent="0.2">
      <c r="A198" s="82">
        <v>192</v>
      </c>
      <c r="B198" s="82"/>
      <c r="C198" s="82"/>
      <c r="D198" s="82"/>
      <c r="E198" s="87"/>
      <c r="F198" s="64" t="s">
        <v>237</v>
      </c>
      <c r="G198" s="76"/>
      <c r="H198" s="90"/>
      <c r="I198" s="90"/>
      <c r="J198" s="33"/>
      <c r="K198" s="33"/>
      <c r="L198" s="33"/>
      <c r="M198" s="33"/>
      <c r="N198" s="34"/>
      <c r="O198" s="35"/>
      <c r="P198" s="35"/>
      <c r="Q198" s="35"/>
      <c r="R198" s="35"/>
      <c r="S198" s="35"/>
      <c r="T198" s="36"/>
      <c r="U198" s="34"/>
      <c r="V198" s="35"/>
      <c r="W198" s="35"/>
      <c r="X198" s="35"/>
      <c r="Y198" s="35">
        <v>4</v>
      </c>
      <c r="Z198" s="35"/>
      <c r="AA198" s="36"/>
      <c r="AB198" s="34"/>
      <c r="AC198" s="35"/>
      <c r="AD198" s="35"/>
      <c r="AE198" s="35"/>
      <c r="AF198" s="35"/>
      <c r="AG198" s="35"/>
      <c r="AH198" s="37"/>
      <c r="AJ198" s="101"/>
    </row>
    <row r="199" spans="1:36" ht="18.75" customHeight="1" x14ac:dyDescent="0.2">
      <c r="A199" s="82">
        <v>193</v>
      </c>
      <c r="B199" s="74"/>
      <c r="C199" s="74"/>
      <c r="D199" s="74"/>
      <c r="E199" s="74"/>
      <c r="F199" s="98" t="s">
        <v>238</v>
      </c>
      <c r="G199" s="104"/>
      <c r="H199" s="90"/>
      <c r="I199" s="90"/>
      <c r="J199" s="90"/>
      <c r="K199" s="90"/>
      <c r="L199" s="90"/>
      <c r="M199" s="90"/>
      <c r="N199" s="21"/>
      <c r="U199" s="21"/>
      <c r="Y199" s="22">
        <v>1</v>
      </c>
      <c r="AB199" s="21"/>
      <c r="AH199" s="7"/>
      <c r="AJ199" s="101"/>
    </row>
    <row r="200" spans="1:36" ht="18.75" customHeight="1" x14ac:dyDescent="0.2">
      <c r="A200" s="82">
        <v>194</v>
      </c>
      <c r="B200" s="74"/>
      <c r="C200" s="74"/>
      <c r="D200" s="74"/>
      <c r="E200" s="74"/>
      <c r="F200" s="64" t="s">
        <v>239</v>
      </c>
      <c r="G200" s="64"/>
      <c r="H200" s="90"/>
      <c r="I200" s="90"/>
      <c r="J200" s="90"/>
      <c r="K200" s="90"/>
      <c r="L200" s="90"/>
      <c r="M200" s="90"/>
      <c r="N200" s="21"/>
      <c r="U200" s="21"/>
      <c r="Y200" s="22">
        <v>5</v>
      </c>
      <c r="AB200" s="21"/>
      <c r="AH200" s="7"/>
      <c r="AJ200" s="101"/>
    </row>
    <row r="201" spans="1:36" ht="19.5" customHeight="1" thickBot="1" x14ac:dyDescent="0.55000000000000004">
      <c r="A201" s="82">
        <v>195</v>
      </c>
      <c r="B201" s="77"/>
      <c r="C201" s="77"/>
      <c r="D201" s="77"/>
      <c r="E201" s="77"/>
      <c r="F201" s="97" t="s">
        <v>240</v>
      </c>
      <c r="G201" s="78"/>
      <c r="H201" s="25"/>
      <c r="I201" s="25"/>
      <c r="J201" s="25"/>
      <c r="K201" s="25"/>
      <c r="L201" s="25"/>
      <c r="M201" s="25"/>
      <c r="N201" s="26"/>
      <c r="O201" s="27"/>
      <c r="P201" s="27"/>
      <c r="Q201" s="27"/>
      <c r="R201" s="27"/>
      <c r="S201" s="27"/>
      <c r="T201" s="3"/>
      <c r="U201" s="26"/>
      <c r="V201" s="27"/>
      <c r="W201" s="27"/>
      <c r="X201" s="27"/>
      <c r="Y201" s="27">
        <v>1</v>
      </c>
      <c r="Z201" s="27"/>
      <c r="AA201" s="3"/>
      <c r="AB201" s="26"/>
      <c r="AC201" s="27"/>
      <c r="AD201" s="27"/>
      <c r="AE201" s="27"/>
      <c r="AF201" s="27"/>
      <c r="AG201" s="27"/>
      <c r="AH201" s="28"/>
      <c r="AJ201" s="101"/>
    </row>
    <row r="202" spans="1:36" ht="18.75" customHeight="1" thickTop="1" x14ac:dyDescent="0.2">
      <c r="A202" s="82">
        <v>196</v>
      </c>
      <c r="B202" s="82"/>
      <c r="C202" s="82"/>
      <c r="D202" s="82"/>
      <c r="E202" s="82"/>
      <c r="F202" s="64" t="s">
        <v>241</v>
      </c>
      <c r="G202" s="73"/>
      <c r="H202" s="7"/>
      <c r="I202" s="90"/>
      <c r="J202" s="90"/>
      <c r="K202" s="90"/>
      <c r="L202" s="90"/>
      <c r="M202" s="90"/>
      <c r="N202" s="21"/>
      <c r="U202" s="21"/>
      <c r="Y202" s="22">
        <v>1</v>
      </c>
      <c r="AB202" s="21"/>
      <c r="AH202" s="7"/>
      <c r="AJ202" s="101"/>
    </row>
    <row r="203" spans="1:36" ht="18.75" customHeight="1" x14ac:dyDescent="0.2">
      <c r="A203" s="82">
        <v>197</v>
      </c>
      <c r="B203" s="82"/>
      <c r="C203" s="82"/>
      <c r="D203" s="82"/>
      <c r="E203" s="87"/>
      <c r="F203" s="64" t="s">
        <v>242</v>
      </c>
      <c r="G203" s="76"/>
      <c r="H203" s="90"/>
      <c r="I203" s="90"/>
      <c r="J203" s="33"/>
      <c r="K203" s="33"/>
      <c r="L203" s="33"/>
      <c r="M203" s="33"/>
      <c r="N203" s="34"/>
      <c r="O203" s="35"/>
      <c r="P203" s="35"/>
      <c r="Q203" s="35"/>
      <c r="R203" s="35"/>
      <c r="S203" s="35"/>
      <c r="T203" s="36"/>
      <c r="U203" s="34"/>
      <c r="V203" s="35"/>
      <c r="W203" s="35"/>
      <c r="X203" s="35"/>
      <c r="Y203" s="35">
        <v>2</v>
      </c>
      <c r="Z203" s="35"/>
      <c r="AA203" s="36"/>
      <c r="AB203" s="34"/>
      <c r="AC203" s="35"/>
      <c r="AD203" s="35"/>
      <c r="AE203" s="35"/>
      <c r="AF203" s="35"/>
      <c r="AG203" s="35"/>
      <c r="AH203" s="37"/>
      <c r="AJ203" s="101"/>
    </row>
    <row r="204" spans="1:36" ht="18.75" customHeight="1" x14ac:dyDescent="0.2">
      <c r="A204" s="82">
        <v>198</v>
      </c>
      <c r="B204" s="74"/>
      <c r="C204" s="74"/>
      <c r="D204" s="74"/>
      <c r="E204" s="74"/>
      <c r="F204" s="98" t="s">
        <v>243</v>
      </c>
      <c r="G204" s="104"/>
      <c r="H204" s="90"/>
      <c r="I204" s="90"/>
      <c r="J204" s="90"/>
      <c r="K204" s="90"/>
      <c r="L204" s="90"/>
      <c r="M204" s="90"/>
      <c r="N204" s="21"/>
      <c r="U204" s="21"/>
      <c r="Y204" s="22">
        <v>1</v>
      </c>
      <c r="AB204" s="21"/>
      <c r="AH204" s="7"/>
      <c r="AJ204" s="101"/>
    </row>
    <row r="205" spans="1:36" ht="18.75" customHeight="1" x14ac:dyDescent="0.2">
      <c r="A205" s="82">
        <v>199</v>
      </c>
      <c r="B205" s="74"/>
      <c r="C205" s="74"/>
      <c r="D205" s="74"/>
      <c r="E205" s="74"/>
      <c r="F205" s="64" t="s">
        <v>244</v>
      </c>
      <c r="G205" s="64"/>
      <c r="H205" s="90"/>
      <c r="I205" s="90"/>
      <c r="J205" s="90"/>
      <c r="K205" s="90"/>
      <c r="L205" s="90"/>
      <c r="M205" s="90"/>
      <c r="N205" s="21"/>
      <c r="U205" s="21"/>
      <c r="Z205" s="22">
        <v>1</v>
      </c>
      <c r="AB205" s="21"/>
      <c r="AH205" s="7"/>
      <c r="AJ205" s="101"/>
    </row>
    <row r="206" spans="1:36" ht="19.5" customHeight="1" thickBot="1" x14ac:dyDescent="0.55000000000000004">
      <c r="A206" s="82">
        <v>200</v>
      </c>
      <c r="B206" s="77"/>
      <c r="C206" s="77"/>
      <c r="D206" s="77"/>
      <c r="E206" s="77"/>
      <c r="F206" s="97" t="s">
        <v>245</v>
      </c>
      <c r="G206" s="78"/>
      <c r="H206" s="25"/>
      <c r="I206" s="25"/>
      <c r="J206" s="25"/>
      <c r="K206" s="25"/>
      <c r="L206" s="25"/>
      <c r="M206" s="25"/>
      <c r="N206" s="26"/>
      <c r="O206" s="27"/>
      <c r="P206" s="27"/>
      <c r="Q206" s="27"/>
      <c r="R206" s="27"/>
      <c r="S206" s="27"/>
      <c r="T206" s="3"/>
      <c r="U206" s="26"/>
      <c r="V206" s="27"/>
      <c r="W206" s="27"/>
      <c r="X206" s="27"/>
      <c r="Y206" s="27"/>
      <c r="Z206" s="27">
        <v>1</v>
      </c>
      <c r="AA206" s="3"/>
      <c r="AB206" s="26"/>
      <c r="AC206" s="27"/>
      <c r="AD206" s="27"/>
      <c r="AE206" s="27"/>
      <c r="AF206" s="27"/>
      <c r="AG206" s="27"/>
      <c r="AH206" s="28"/>
      <c r="AJ206" s="101"/>
    </row>
    <row r="207" spans="1:36" ht="18.75" customHeight="1" thickTop="1" x14ac:dyDescent="0.2">
      <c r="A207" s="82">
        <v>201</v>
      </c>
      <c r="B207" s="82"/>
      <c r="C207" s="82"/>
      <c r="D207" s="82"/>
      <c r="E207" s="82"/>
      <c r="F207" s="64" t="s">
        <v>246</v>
      </c>
      <c r="G207" s="73"/>
      <c r="H207" s="7"/>
      <c r="I207" s="90"/>
      <c r="J207" s="90"/>
      <c r="K207" s="90"/>
      <c r="L207" s="90"/>
      <c r="M207" s="90"/>
      <c r="N207" s="21"/>
      <c r="U207" s="21"/>
      <c r="Z207" s="22">
        <v>1</v>
      </c>
      <c r="AB207" s="21"/>
      <c r="AH207" s="7"/>
      <c r="AJ207" s="101"/>
    </row>
    <row r="208" spans="1:36" ht="18.75" customHeight="1" x14ac:dyDescent="0.2">
      <c r="A208" s="82">
        <v>202</v>
      </c>
      <c r="B208" s="82"/>
      <c r="C208" s="82"/>
      <c r="D208" s="82"/>
      <c r="E208" s="87"/>
      <c r="F208" s="64" t="s">
        <v>247</v>
      </c>
      <c r="G208" s="76"/>
      <c r="H208" s="90"/>
      <c r="I208" s="90"/>
      <c r="J208" s="33"/>
      <c r="K208" s="33"/>
      <c r="L208" s="33"/>
      <c r="M208" s="33"/>
      <c r="N208" s="34"/>
      <c r="O208" s="35"/>
      <c r="P208" s="35"/>
      <c r="Q208" s="35"/>
      <c r="R208" s="35"/>
      <c r="S208" s="35"/>
      <c r="T208" s="36"/>
      <c r="U208" s="34"/>
      <c r="V208" s="35"/>
      <c r="W208" s="35"/>
      <c r="X208" s="35"/>
      <c r="Y208" s="35"/>
      <c r="Z208" s="35">
        <v>1</v>
      </c>
      <c r="AA208" s="36"/>
      <c r="AB208" s="34"/>
      <c r="AC208" s="35"/>
      <c r="AD208" s="35"/>
      <c r="AE208" s="35"/>
      <c r="AF208" s="35"/>
      <c r="AG208" s="35"/>
      <c r="AH208" s="37"/>
      <c r="AJ208" s="101"/>
    </row>
    <row r="209" spans="1:36" ht="18.75" customHeight="1" x14ac:dyDescent="0.2">
      <c r="A209" s="82">
        <v>203</v>
      </c>
      <c r="B209" s="74"/>
      <c r="C209" s="74"/>
      <c r="D209" s="74"/>
      <c r="E209" s="74"/>
      <c r="F209" s="98" t="s">
        <v>248</v>
      </c>
      <c r="G209" s="104"/>
      <c r="H209" s="90"/>
      <c r="I209" s="90"/>
      <c r="J209" s="90"/>
      <c r="K209" s="90"/>
      <c r="L209" s="90"/>
      <c r="M209" s="90"/>
      <c r="N209" s="21"/>
      <c r="U209" s="21"/>
      <c r="Z209" s="22">
        <v>3</v>
      </c>
      <c r="AB209" s="21"/>
      <c r="AH209" s="7"/>
      <c r="AJ209" s="101"/>
    </row>
    <row r="210" spans="1:36" ht="18.75" customHeight="1" x14ac:dyDescent="0.2">
      <c r="A210" s="82">
        <v>204</v>
      </c>
      <c r="B210" s="74"/>
      <c r="C210" s="74"/>
      <c r="D210" s="74"/>
      <c r="E210" s="74"/>
      <c r="F210" s="64" t="s">
        <v>249</v>
      </c>
      <c r="G210" s="64"/>
      <c r="H210" s="90"/>
      <c r="I210" s="90"/>
      <c r="J210" s="90"/>
      <c r="K210" s="90"/>
      <c r="L210" s="90"/>
      <c r="M210" s="90"/>
      <c r="N210" s="21"/>
      <c r="U210" s="21"/>
      <c r="Z210" s="22">
        <v>1</v>
      </c>
      <c r="AB210" s="21"/>
      <c r="AH210" s="7"/>
      <c r="AJ210" s="101"/>
    </row>
    <row r="211" spans="1:36" ht="19.5" customHeight="1" thickBot="1" x14ac:dyDescent="0.55000000000000004">
      <c r="A211" s="82">
        <v>205</v>
      </c>
      <c r="F211" s="97" t="s">
        <v>250</v>
      </c>
      <c r="G211" s="78"/>
      <c r="H211" s="25"/>
      <c r="I211" s="25"/>
      <c r="J211" s="25"/>
      <c r="K211" s="25"/>
      <c r="L211" s="25"/>
      <c r="M211" s="25"/>
      <c r="N211" s="26"/>
      <c r="O211" s="27"/>
      <c r="P211" s="27"/>
      <c r="Q211" s="27"/>
      <c r="R211" s="27"/>
      <c r="S211" s="27"/>
      <c r="T211" s="3"/>
      <c r="U211" s="26"/>
      <c r="V211" s="27"/>
      <c r="W211" s="27"/>
      <c r="X211" s="27"/>
      <c r="Y211" s="27"/>
      <c r="Z211" s="27">
        <v>1</v>
      </c>
      <c r="AA211" s="3"/>
      <c r="AB211" s="26"/>
      <c r="AC211" s="27"/>
      <c r="AD211" s="27"/>
      <c r="AE211" s="27"/>
      <c r="AF211" s="27"/>
      <c r="AG211" s="27"/>
      <c r="AH211" s="28"/>
      <c r="AJ211" s="101"/>
    </row>
    <row r="212" spans="1:36" ht="18.75" customHeight="1" thickTop="1" x14ac:dyDescent="0.2">
      <c r="A212" s="82">
        <v>206</v>
      </c>
      <c r="F212" s="64" t="s">
        <v>251</v>
      </c>
      <c r="G212" s="73"/>
      <c r="H212" s="7"/>
      <c r="I212" s="90"/>
      <c r="J212" s="90"/>
      <c r="K212" s="90"/>
      <c r="L212" s="90"/>
      <c r="M212" s="90"/>
      <c r="N212" s="21"/>
      <c r="U212" s="21"/>
      <c r="Z212" s="22">
        <v>1</v>
      </c>
      <c r="AB212" s="21"/>
      <c r="AH212" s="7"/>
      <c r="AJ212" s="101"/>
    </row>
    <row r="213" spans="1:36" ht="18.75" customHeight="1" x14ac:dyDescent="0.2">
      <c r="A213" s="82">
        <v>207</v>
      </c>
      <c r="F213" s="64" t="s">
        <v>252</v>
      </c>
      <c r="G213" s="76"/>
      <c r="H213" s="90"/>
      <c r="I213" s="90"/>
      <c r="J213" s="33"/>
      <c r="K213" s="33"/>
      <c r="L213" s="33"/>
      <c r="M213" s="33"/>
      <c r="N213" s="34"/>
      <c r="O213" s="35"/>
      <c r="P213" s="35"/>
      <c r="Q213" s="35"/>
      <c r="R213" s="35"/>
      <c r="S213" s="35"/>
      <c r="T213" s="36"/>
      <c r="U213" s="34"/>
      <c r="V213" s="35"/>
      <c r="W213" s="35"/>
      <c r="X213" s="35"/>
      <c r="Y213" s="35"/>
      <c r="Z213" s="35">
        <v>2</v>
      </c>
      <c r="AA213" s="36"/>
      <c r="AB213" s="34"/>
      <c r="AC213" s="35"/>
      <c r="AD213" s="35"/>
      <c r="AE213" s="35"/>
      <c r="AF213" s="35"/>
      <c r="AG213" s="35"/>
      <c r="AH213" s="37"/>
      <c r="AJ213" s="101"/>
    </row>
    <row r="214" spans="1:36" ht="18.75" customHeight="1" x14ac:dyDescent="0.2">
      <c r="A214" s="82">
        <v>208</v>
      </c>
      <c r="F214" s="98" t="s">
        <v>253</v>
      </c>
      <c r="G214" s="104"/>
      <c r="H214" s="90"/>
      <c r="I214" s="90"/>
      <c r="J214" s="90"/>
      <c r="K214" s="90"/>
      <c r="L214" s="90"/>
      <c r="M214" s="90"/>
      <c r="N214" s="21"/>
      <c r="U214" s="21"/>
      <c r="Z214" s="22">
        <v>2</v>
      </c>
      <c r="AB214" s="21"/>
      <c r="AH214" s="7"/>
      <c r="AJ214" s="101"/>
    </row>
    <row r="215" spans="1:36" ht="18.75" customHeight="1" x14ac:dyDescent="0.2">
      <c r="A215" s="82">
        <v>209</v>
      </c>
      <c r="F215" s="64" t="s">
        <v>254</v>
      </c>
      <c r="G215" s="64"/>
      <c r="H215" s="90"/>
      <c r="I215" s="90"/>
      <c r="J215" s="90"/>
      <c r="K215" s="90"/>
      <c r="L215" s="90"/>
      <c r="M215" s="90"/>
      <c r="N215" s="21"/>
      <c r="U215" s="21"/>
      <c r="Z215" s="22">
        <v>2</v>
      </c>
      <c r="AB215" s="21"/>
      <c r="AH215" s="7"/>
      <c r="AJ215" s="101"/>
    </row>
    <row r="216" spans="1:36" ht="19.5" customHeight="1" thickBot="1" x14ac:dyDescent="0.55000000000000004">
      <c r="A216" s="82">
        <v>210</v>
      </c>
      <c r="F216" s="97" t="s">
        <v>255</v>
      </c>
      <c r="G216" s="78"/>
      <c r="H216" s="25"/>
      <c r="I216" s="25"/>
      <c r="J216" s="25"/>
      <c r="K216" s="25"/>
      <c r="L216" s="25"/>
      <c r="M216" s="25"/>
      <c r="N216" s="26"/>
      <c r="O216" s="27"/>
      <c r="P216" s="27"/>
      <c r="Q216" s="27"/>
      <c r="R216" s="27"/>
      <c r="S216" s="27"/>
      <c r="T216" s="3"/>
      <c r="U216" s="26"/>
      <c r="V216" s="27"/>
      <c r="W216" s="27"/>
      <c r="X216" s="27"/>
      <c r="Y216" s="27"/>
      <c r="Z216" s="27">
        <v>2</v>
      </c>
      <c r="AA216" s="3"/>
      <c r="AB216" s="26"/>
      <c r="AC216" s="27"/>
      <c r="AD216" s="27"/>
      <c r="AE216" s="27"/>
      <c r="AF216" s="27"/>
      <c r="AG216" s="27"/>
      <c r="AH216" s="28"/>
      <c r="AJ216" s="101"/>
    </row>
    <row r="217" spans="1:36" ht="18.75" customHeight="1" thickTop="1" x14ac:dyDescent="0.2">
      <c r="A217" s="82">
        <v>211</v>
      </c>
      <c r="F217" s="64" t="s">
        <v>256</v>
      </c>
      <c r="G217" s="73"/>
      <c r="H217" s="7"/>
      <c r="I217" s="90"/>
      <c r="J217" s="90"/>
      <c r="K217" s="90"/>
      <c r="L217" s="90"/>
      <c r="M217" s="90"/>
      <c r="N217" s="21"/>
      <c r="U217" s="21"/>
      <c r="Z217" s="22">
        <v>3</v>
      </c>
      <c r="AB217" s="21"/>
      <c r="AH217" s="7"/>
      <c r="AJ217" s="101"/>
    </row>
    <row r="218" spans="1:36" ht="18.75" customHeight="1" x14ac:dyDescent="0.2">
      <c r="A218" s="82">
        <v>212</v>
      </c>
      <c r="F218" s="64" t="s">
        <v>257</v>
      </c>
      <c r="G218" s="76"/>
      <c r="H218" s="90"/>
      <c r="I218" s="90"/>
      <c r="J218" s="33"/>
      <c r="K218" s="33"/>
      <c r="L218" s="33"/>
      <c r="M218" s="33"/>
      <c r="N218" s="34"/>
      <c r="O218" s="35"/>
      <c r="P218" s="35"/>
      <c r="Q218" s="35"/>
      <c r="R218" s="35"/>
      <c r="S218" s="35"/>
      <c r="T218" s="36"/>
      <c r="U218" s="34"/>
      <c r="V218" s="35"/>
      <c r="W218" s="35"/>
      <c r="X218" s="35"/>
      <c r="Y218" s="35"/>
      <c r="Z218" s="35">
        <v>3</v>
      </c>
      <c r="AA218" s="36"/>
      <c r="AB218" s="34"/>
      <c r="AC218" s="35"/>
      <c r="AD218" s="35"/>
      <c r="AE218" s="35"/>
      <c r="AF218" s="35"/>
      <c r="AG218" s="35"/>
      <c r="AH218" s="37"/>
      <c r="AJ218" s="101"/>
    </row>
    <row r="219" spans="1:36" ht="18.75" customHeight="1" x14ac:dyDescent="0.2">
      <c r="A219" s="82">
        <v>213</v>
      </c>
      <c r="F219" s="98" t="s">
        <v>258</v>
      </c>
      <c r="G219" s="104"/>
      <c r="H219" s="90"/>
      <c r="I219" s="90"/>
      <c r="J219" s="90"/>
      <c r="K219" s="90"/>
      <c r="L219" s="90"/>
      <c r="M219" s="90"/>
      <c r="N219" s="21"/>
      <c r="U219" s="21"/>
      <c r="Z219" s="22">
        <v>3</v>
      </c>
      <c r="AB219" s="21"/>
      <c r="AH219" s="7"/>
      <c r="AJ219" s="101"/>
    </row>
    <row r="220" spans="1:36" ht="18.75" customHeight="1" x14ac:dyDescent="0.2">
      <c r="A220" s="82">
        <v>214</v>
      </c>
      <c r="F220" s="64" t="s">
        <v>259</v>
      </c>
      <c r="G220" s="64"/>
      <c r="H220" s="90"/>
      <c r="I220" s="90"/>
      <c r="J220" s="90"/>
      <c r="K220" s="90"/>
      <c r="L220" s="90"/>
      <c r="M220" s="90"/>
      <c r="N220" s="21"/>
      <c r="U220" s="21"/>
      <c r="Z220" s="22">
        <v>3</v>
      </c>
      <c r="AB220" s="21"/>
      <c r="AH220" s="7"/>
      <c r="AJ220" s="101"/>
    </row>
    <row r="221" spans="1:36" ht="19.5" customHeight="1" thickBot="1" x14ac:dyDescent="0.55000000000000004">
      <c r="A221" s="82">
        <v>215</v>
      </c>
      <c r="F221" s="97" t="s">
        <v>260</v>
      </c>
      <c r="G221" s="78"/>
      <c r="H221" s="25"/>
      <c r="I221" s="25"/>
      <c r="J221" s="25"/>
      <c r="K221" s="25"/>
      <c r="L221" s="25"/>
      <c r="M221" s="25"/>
      <c r="N221" s="26"/>
      <c r="O221" s="27"/>
      <c r="P221" s="27"/>
      <c r="Q221" s="27"/>
      <c r="R221" s="27"/>
      <c r="S221" s="27"/>
      <c r="T221" s="3"/>
      <c r="U221" s="26"/>
      <c r="V221" s="27"/>
      <c r="W221" s="27"/>
      <c r="X221" s="27"/>
      <c r="Y221" s="27"/>
      <c r="Z221" s="27">
        <v>1</v>
      </c>
      <c r="AA221" s="3"/>
      <c r="AB221" s="26"/>
      <c r="AC221" s="27"/>
      <c r="AD221" s="27"/>
      <c r="AE221" s="27"/>
      <c r="AF221" s="27"/>
      <c r="AG221" s="27"/>
      <c r="AH221" s="28"/>
      <c r="AJ221" s="101"/>
    </row>
    <row r="222" spans="1:36" ht="18.75" customHeight="1" thickTop="1" x14ac:dyDescent="0.2">
      <c r="A222" s="82">
        <v>216</v>
      </c>
      <c r="F222" s="64" t="s">
        <v>261</v>
      </c>
      <c r="G222" s="73"/>
      <c r="H222" s="7"/>
      <c r="I222" s="90"/>
      <c r="J222" s="90"/>
      <c r="K222" s="90"/>
      <c r="L222" s="90"/>
      <c r="M222" s="90"/>
      <c r="N222" s="21"/>
      <c r="U222" s="21"/>
      <c r="Z222" s="22">
        <v>6</v>
      </c>
      <c r="AB222" s="21"/>
      <c r="AH222" s="7"/>
      <c r="AJ222" s="101"/>
    </row>
    <row r="223" spans="1:36" ht="18.75" customHeight="1" x14ac:dyDescent="0.2">
      <c r="A223" s="82">
        <v>217</v>
      </c>
      <c r="F223" s="64" t="s">
        <v>262</v>
      </c>
      <c r="G223" s="76"/>
      <c r="H223" s="90"/>
      <c r="I223" s="90"/>
      <c r="J223" s="33"/>
      <c r="K223" s="33"/>
      <c r="L223" s="33"/>
      <c r="M223" s="33"/>
      <c r="N223" s="34"/>
      <c r="O223" s="35"/>
      <c r="P223" s="35"/>
      <c r="Q223" s="35"/>
      <c r="R223" s="35"/>
      <c r="S223" s="35"/>
      <c r="T223" s="36"/>
      <c r="U223" s="34"/>
      <c r="V223" s="35"/>
      <c r="W223" s="35"/>
      <c r="X223" s="35"/>
      <c r="Y223" s="35"/>
      <c r="Z223" s="35">
        <v>2</v>
      </c>
      <c r="AA223" s="36"/>
      <c r="AB223" s="34"/>
      <c r="AC223" s="35"/>
      <c r="AD223" s="35"/>
      <c r="AE223" s="35"/>
      <c r="AF223" s="35"/>
      <c r="AG223" s="35"/>
      <c r="AH223" s="37"/>
      <c r="AJ223" s="101"/>
    </row>
    <row r="224" spans="1:36" ht="18.75" customHeight="1" x14ac:dyDescent="0.2">
      <c r="A224" s="82">
        <v>218</v>
      </c>
      <c r="F224" s="98" t="s">
        <v>263</v>
      </c>
      <c r="G224" s="104"/>
      <c r="H224" s="90"/>
      <c r="I224" s="90"/>
      <c r="J224" s="90"/>
      <c r="K224" s="90"/>
      <c r="L224" s="90"/>
      <c r="M224" s="90"/>
      <c r="N224" s="21"/>
      <c r="U224" s="21"/>
      <c r="Z224" s="22">
        <v>2</v>
      </c>
      <c r="AB224" s="21"/>
      <c r="AH224" s="7"/>
      <c r="AJ224" s="101"/>
    </row>
    <row r="225" spans="1:36" ht="18.75" customHeight="1" x14ac:dyDescent="0.2">
      <c r="A225" s="82">
        <v>219</v>
      </c>
      <c r="F225" s="64" t="s">
        <v>264</v>
      </c>
      <c r="G225" s="64"/>
      <c r="H225" s="90"/>
      <c r="I225" s="90"/>
      <c r="J225" s="90"/>
      <c r="K225" s="90"/>
      <c r="L225" s="90"/>
      <c r="M225" s="90"/>
      <c r="N225" s="21"/>
      <c r="U225" s="21"/>
      <c r="Z225" s="22">
        <v>3</v>
      </c>
      <c r="AB225" s="21"/>
      <c r="AH225" s="7"/>
      <c r="AJ225" s="101"/>
    </row>
    <row r="226" spans="1:36" ht="19.5" customHeight="1" thickBot="1" x14ac:dyDescent="0.55000000000000004">
      <c r="A226" s="82">
        <v>220</v>
      </c>
      <c r="F226" s="97" t="s">
        <v>265</v>
      </c>
      <c r="G226" s="78"/>
      <c r="H226" s="25"/>
      <c r="I226" s="25"/>
      <c r="J226" s="25"/>
      <c r="K226" s="25"/>
      <c r="L226" s="25"/>
      <c r="M226" s="25"/>
      <c r="N226" s="26"/>
      <c r="O226" s="27"/>
      <c r="P226" s="27"/>
      <c r="Q226" s="27"/>
      <c r="R226" s="27"/>
      <c r="S226" s="27"/>
      <c r="T226" s="3"/>
      <c r="U226" s="26"/>
      <c r="V226" s="27"/>
      <c r="W226" s="27"/>
      <c r="X226" s="27"/>
      <c r="Y226" s="27"/>
      <c r="Z226" s="27">
        <v>1</v>
      </c>
      <c r="AA226" s="3"/>
      <c r="AB226" s="26"/>
      <c r="AC226" s="27"/>
      <c r="AD226" s="27"/>
      <c r="AE226" s="27"/>
      <c r="AF226" s="27"/>
      <c r="AG226" s="27"/>
      <c r="AH226" s="28"/>
      <c r="AJ226" s="101"/>
    </row>
    <row r="227" spans="1:36" ht="18.75" customHeight="1" thickTop="1" x14ac:dyDescent="0.2">
      <c r="A227" s="82">
        <v>221</v>
      </c>
      <c r="F227" s="64" t="s">
        <v>266</v>
      </c>
      <c r="G227" s="73"/>
      <c r="H227" s="7"/>
      <c r="I227" s="90"/>
      <c r="J227" s="90"/>
      <c r="K227" s="90"/>
      <c r="L227" s="90"/>
      <c r="M227" s="90"/>
      <c r="N227" s="21"/>
      <c r="U227" s="21"/>
      <c r="Z227" s="22">
        <v>1</v>
      </c>
      <c r="AB227" s="21"/>
      <c r="AH227" s="7"/>
      <c r="AJ227" s="101"/>
    </row>
    <row r="228" spans="1:36" ht="18.75" customHeight="1" x14ac:dyDescent="0.2">
      <c r="A228" s="82">
        <v>222</v>
      </c>
      <c r="F228" s="64" t="s">
        <v>267</v>
      </c>
      <c r="G228" s="76"/>
      <c r="H228" s="90"/>
      <c r="I228" s="90"/>
      <c r="J228" s="33"/>
      <c r="K228" s="33"/>
      <c r="L228" s="33"/>
      <c r="M228" s="33"/>
      <c r="N228" s="34"/>
      <c r="O228" s="35"/>
      <c r="P228" s="35"/>
      <c r="Q228" s="35"/>
      <c r="R228" s="35"/>
      <c r="S228" s="35"/>
      <c r="T228" s="36"/>
      <c r="U228" s="34"/>
      <c r="V228" s="35"/>
      <c r="W228" s="35"/>
      <c r="X228" s="35"/>
      <c r="Y228" s="35"/>
      <c r="Z228" s="35"/>
      <c r="AA228" s="36">
        <v>1</v>
      </c>
      <c r="AB228" s="34"/>
      <c r="AC228" s="35"/>
      <c r="AD228" s="35"/>
      <c r="AE228" s="35"/>
      <c r="AF228" s="35"/>
      <c r="AG228" s="35"/>
      <c r="AH228" s="37"/>
      <c r="AJ228" s="101"/>
    </row>
    <row r="229" spans="1:36" ht="18.75" customHeight="1" x14ac:dyDescent="0.2">
      <c r="A229" s="82">
        <v>223</v>
      </c>
      <c r="F229" s="98" t="s">
        <v>268</v>
      </c>
      <c r="G229" s="104"/>
      <c r="H229" s="90"/>
      <c r="I229" s="90"/>
      <c r="J229" s="90"/>
      <c r="K229" s="90"/>
      <c r="L229" s="90"/>
      <c r="M229" s="90"/>
      <c r="N229" s="21"/>
      <c r="U229" s="21"/>
      <c r="AA229" s="94">
        <v>1</v>
      </c>
      <c r="AB229" s="21"/>
      <c r="AH229" s="7"/>
      <c r="AJ229" s="101"/>
    </row>
    <row r="230" spans="1:36" ht="18.75" customHeight="1" x14ac:dyDescent="0.2">
      <c r="A230" s="82">
        <v>224</v>
      </c>
      <c r="F230" s="64" t="s">
        <v>269</v>
      </c>
      <c r="G230" s="64"/>
      <c r="H230" s="90"/>
      <c r="I230" s="90"/>
      <c r="J230" s="90"/>
      <c r="K230" s="90"/>
      <c r="L230" s="90"/>
      <c r="M230" s="90"/>
      <c r="N230" s="21"/>
      <c r="U230" s="21"/>
      <c r="AA230" s="94">
        <v>1</v>
      </c>
      <c r="AB230" s="21"/>
      <c r="AH230" s="7"/>
      <c r="AJ230" s="101"/>
    </row>
    <row r="231" spans="1:36" ht="19.5" customHeight="1" thickBot="1" x14ac:dyDescent="0.55000000000000004">
      <c r="A231" s="82">
        <v>225</v>
      </c>
      <c r="F231" s="97" t="s">
        <v>270</v>
      </c>
      <c r="G231" s="78"/>
      <c r="H231" s="25"/>
      <c r="I231" s="25"/>
      <c r="J231" s="25"/>
      <c r="K231" s="25"/>
      <c r="L231" s="25"/>
      <c r="M231" s="25"/>
      <c r="N231" s="26"/>
      <c r="O231" s="27"/>
      <c r="P231" s="27"/>
      <c r="Q231" s="27"/>
      <c r="R231" s="27"/>
      <c r="S231" s="27"/>
      <c r="T231" s="3"/>
      <c r="U231" s="26"/>
      <c r="V231" s="27"/>
      <c r="W231" s="27"/>
      <c r="X231" s="27"/>
      <c r="Y231" s="27"/>
      <c r="Z231" s="27"/>
      <c r="AA231" s="3">
        <v>2</v>
      </c>
      <c r="AB231" s="26"/>
      <c r="AC231" s="27"/>
      <c r="AD231" s="27"/>
      <c r="AE231" s="27"/>
      <c r="AF231" s="27"/>
      <c r="AG231" s="27"/>
      <c r="AH231" s="28"/>
      <c r="AJ231" s="101"/>
    </row>
    <row r="232" spans="1:36" ht="18.75" customHeight="1" thickTop="1" x14ac:dyDescent="0.2">
      <c r="A232" s="82">
        <v>226</v>
      </c>
      <c r="F232" s="64" t="s">
        <v>271</v>
      </c>
      <c r="G232" s="73"/>
      <c r="H232" s="7"/>
      <c r="I232" s="90"/>
      <c r="J232" s="90"/>
      <c r="K232" s="90"/>
      <c r="L232" s="90"/>
      <c r="M232" s="90"/>
      <c r="N232" s="21"/>
      <c r="U232" s="21"/>
      <c r="AA232" s="94">
        <v>1</v>
      </c>
      <c r="AB232" s="21"/>
      <c r="AH232" s="7"/>
      <c r="AJ232" s="101"/>
    </row>
    <row r="233" spans="1:36" ht="18.75" customHeight="1" x14ac:dyDescent="0.2">
      <c r="A233" s="82">
        <v>227</v>
      </c>
      <c r="F233" s="64" t="s">
        <v>272</v>
      </c>
      <c r="G233" s="76"/>
      <c r="H233" s="90"/>
      <c r="I233" s="90"/>
      <c r="J233" s="33"/>
      <c r="K233" s="33"/>
      <c r="L233" s="33"/>
      <c r="M233" s="33"/>
      <c r="N233" s="34"/>
      <c r="O233" s="35"/>
      <c r="P233" s="35"/>
      <c r="Q233" s="35"/>
      <c r="R233" s="35"/>
      <c r="S233" s="35"/>
      <c r="T233" s="36"/>
      <c r="U233" s="34"/>
      <c r="V233" s="35"/>
      <c r="W233" s="35"/>
      <c r="X233" s="35"/>
      <c r="Y233" s="35"/>
      <c r="Z233" s="35"/>
      <c r="AA233" s="36">
        <v>1</v>
      </c>
      <c r="AB233" s="34"/>
      <c r="AC233" s="35"/>
      <c r="AD233" s="35"/>
      <c r="AE233" s="35"/>
      <c r="AF233" s="35"/>
      <c r="AG233" s="35"/>
      <c r="AH233" s="37"/>
      <c r="AJ233" s="101"/>
    </row>
    <row r="234" spans="1:36" ht="18.75" customHeight="1" x14ac:dyDescent="0.2">
      <c r="A234" s="82">
        <v>228</v>
      </c>
      <c r="F234" s="98" t="s">
        <v>273</v>
      </c>
      <c r="G234" s="104"/>
      <c r="H234" s="90"/>
      <c r="I234" s="90"/>
      <c r="J234" s="90"/>
      <c r="K234" s="90"/>
      <c r="L234" s="90"/>
      <c r="M234" s="90"/>
      <c r="N234" s="21"/>
      <c r="U234" s="21"/>
      <c r="AA234" s="94">
        <v>1</v>
      </c>
      <c r="AB234" s="21"/>
      <c r="AH234" s="7"/>
      <c r="AJ234" s="101"/>
    </row>
    <row r="235" spans="1:36" ht="18.75" customHeight="1" x14ac:dyDescent="0.2">
      <c r="A235" s="82">
        <v>229</v>
      </c>
      <c r="F235" s="64" t="s">
        <v>274</v>
      </c>
      <c r="G235" s="64"/>
      <c r="H235" s="90"/>
      <c r="I235" s="90"/>
      <c r="J235" s="90"/>
      <c r="K235" s="90"/>
      <c r="L235" s="90"/>
      <c r="M235" s="90"/>
      <c r="N235" s="21"/>
      <c r="U235" s="21"/>
      <c r="AA235" s="94">
        <v>1</v>
      </c>
      <c r="AB235" s="21"/>
      <c r="AH235" s="7"/>
      <c r="AJ235" s="101"/>
    </row>
    <row r="236" spans="1:36" ht="19.5" customHeight="1" thickBot="1" x14ac:dyDescent="0.55000000000000004">
      <c r="A236" s="82">
        <v>230</v>
      </c>
      <c r="F236" s="97" t="s">
        <v>276</v>
      </c>
      <c r="G236" s="78"/>
      <c r="H236" s="25"/>
      <c r="I236" s="25"/>
      <c r="J236" s="25"/>
      <c r="K236" s="25"/>
      <c r="L236" s="25"/>
      <c r="M236" s="25"/>
      <c r="N236" s="26"/>
      <c r="O236" s="27"/>
      <c r="P236" s="27"/>
      <c r="Q236" s="27"/>
      <c r="R236" s="27"/>
      <c r="S236" s="27"/>
      <c r="T236" s="3"/>
      <c r="U236" s="26"/>
      <c r="V236" s="27"/>
      <c r="W236" s="27"/>
      <c r="X236" s="27"/>
      <c r="Y236" s="27"/>
      <c r="Z236" s="27"/>
      <c r="AA236" s="3">
        <v>2</v>
      </c>
      <c r="AB236" s="26"/>
      <c r="AC236" s="27"/>
      <c r="AD236" s="27"/>
      <c r="AE236" s="27"/>
      <c r="AF236" s="27"/>
      <c r="AG236" s="27"/>
      <c r="AH236" s="28"/>
      <c r="AJ236" s="101"/>
    </row>
    <row r="237" spans="1:36" ht="18.75" customHeight="1" thickTop="1" x14ac:dyDescent="0.2">
      <c r="A237" s="82">
        <v>231</v>
      </c>
      <c r="F237" s="64" t="s">
        <v>53</v>
      </c>
      <c r="G237" s="73"/>
      <c r="H237" s="7"/>
      <c r="I237" s="90"/>
      <c r="J237" s="90"/>
      <c r="K237" s="90"/>
      <c r="L237" s="90"/>
      <c r="M237" s="90"/>
      <c r="N237" s="21"/>
      <c r="U237" s="21"/>
      <c r="AA237" s="94">
        <v>2</v>
      </c>
      <c r="AB237" s="21"/>
      <c r="AH237" s="7"/>
      <c r="AJ237" s="101"/>
    </row>
    <row r="238" spans="1:36" ht="18.75" customHeight="1" x14ac:dyDescent="0.2">
      <c r="A238" s="82">
        <v>232</v>
      </c>
      <c r="F238" s="64" t="s">
        <v>277</v>
      </c>
      <c r="G238" s="76"/>
      <c r="H238" s="90"/>
      <c r="I238" s="90"/>
      <c r="J238" s="33"/>
      <c r="K238" s="33"/>
      <c r="L238" s="33"/>
      <c r="M238" s="33"/>
      <c r="N238" s="34"/>
      <c r="O238" s="35"/>
      <c r="P238" s="35"/>
      <c r="Q238" s="35"/>
      <c r="R238" s="35"/>
      <c r="S238" s="35"/>
      <c r="T238" s="36"/>
      <c r="U238" s="34"/>
      <c r="V238" s="35"/>
      <c r="W238" s="35"/>
      <c r="X238" s="35"/>
      <c r="Y238" s="35"/>
      <c r="Z238" s="35"/>
      <c r="AA238" s="36">
        <v>1</v>
      </c>
      <c r="AB238" s="34"/>
      <c r="AC238" s="35"/>
      <c r="AD238" s="35"/>
      <c r="AE238" s="35"/>
      <c r="AF238" s="35"/>
      <c r="AG238" s="35"/>
      <c r="AH238" s="37"/>
      <c r="AJ238" s="101"/>
    </row>
    <row r="239" spans="1:36" ht="18.75" customHeight="1" x14ac:dyDescent="0.2">
      <c r="A239" s="82">
        <v>233</v>
      </c>
      <c r="F239" s="98" t="s">
        <v>278</v>
      </c>
      <c r="G239" s="104"/>
      <c r="H239" s="90"/>
      <c r="I239" s="90"/>
      <c r="J239" s="90"/>
      <c r="K239" s="90"/>
      <c r="L239" s="90"/>
      <c r="M239" s="90"/>
      <c r="N239" s="21"/>
      <c r="U239" s="21"/>
      <c r="AA239" s="94">
        <v>1</v>
      </c>
      <c r="AB239" s="21"/>
      <c r="AH239" s="7"/>
      <c r="AJ239" s="101"/>
    </row>
    <row r="240" spans="1:36" ht="18.75" customHeight="1" x14ac:dyDescent="0.2">
      <c r="A240" s="82">
        <v>234</v>
      </c>
      <c r="F240" s="64" t="s">
        <v>279</v>
      </c>
      <c r="G240" s="64"/>
      <c r="H240" s="90"/>
      <c r="I240" s="90"/>
      <c r="J240" s="90"/>
      <c r="K240" s="90"/>
      <c r="L240" s="90"/>
      <c r="M240" s="90"/>
      <c r="N240" s="21"/>
      <c r="U240" s="21"/>
      <c r="AA240" s="94">
        <v>1</v>
      </c>
      <c r="AB240" s="21"/>
      <c r="AH240" s="7"/>
      <c r="AJ240" s="101"/>
    </row>
    <row r="241" spans="1:36" ht="19.5" customHeight="1" thickBot="1" x14ac:dyDescent="0.55000000000000004">
      <c r="A241" s="82">
        <v>235</v>
      </c>
      <c r="F241" s="97" t="s">
        <v>280</v>
      </c>
      <c r="G241" s="78"/>
      <c r="H241" s="25"/>
      <c r="I241" s="25"/>
      <c r="J241" s="25"/>
      <c r="K241" s="25"/>
      <c r="L241" s="25"/>
      <c r="M241" s="25"/>
      <c r="N241" s="26"/>
      <c r="O241" s="27"/>
      <c r="P241" s="27"/>
      <c r="Q241" s="27"/>
      <c r="R241" s="27"/>
      <c r="S241" s="27"/>
      <c r="T241" s="3"/>
      <c r="U241" s="26"/>
      <c r="V241" s="27"/>
      <c r="W241" s="27"/>
      <c r="X241" s="27"/>
      <c r="Y241" s="27"/>
      <c r="Z241" s="27"/>
      <c r="AA241" s="3">
        <v>2</v>
      </c>
      <c r="AB241" s="26"/>
      <c r="AC241" s="27"/>
      <c r="AD241" s="27"/>
      <c r="AE241" s="27"/>
      <c r="AF241" s="27"/>
      <c r="AG241" s="27"/>
      <c r="AH241" s="28"/>
      <c r="AJ241" s="101"/>
    </row>
    <row r="242" spans="1:36" ht="18.75" customHeight="1" thickTop="1" x14ac:dyDescent="0.2">
      <c r="A242" s="82">
        <v>236</v>
      </c>
      <c r="F242" s="64" t="s">
        <v>281</v>
      </c>
      <c r="G242" s="73"/>
      <c r="H242" s="7"/>
      <c r="I242" s="90"/>
      <c r="J242" s="90"/>
      <c r="K242" s="90"/>
      <c r="L242" s="90"/>
      <c r="M242" s="90"/>
      <c r="N242" s="21"/>
      <c r="U242" s="21"/>
      <c r="AB242" s="21"/>
      <c r="AC242" s="22">
        <v>2</v>
      </c>
      <c r="AH242" s="7"/>
      <c r="AJ242" s="101"/>
    </row>
    <row r="243" spans="1:36" ht="18.75" customHeight="1" x14ac:dyDescent="0.2">
      <c r="A243" s="82">
        <v>237</v>
      </c>
      <c r="F243" s="64" t="s">
        <v>282</v>
      </c>
      <c r="G243" s="76"/>
      <c r="H243" s="90"/>
      <c r="I243" s="90"/>
      <c r="J243" s="33"/>
      <c r="K243" s="33"/>
      <c r="L243" s="33"/>
      <c r="M243" s="33"/>
      <c r="N243" s="34"/>
      <c r="O243" s="35"/>
      <c r="P243" s="35"/>
      <c r="Q243" s="35"/>
      <c r="R243" s="35"/>
      <c r="S243" s="35"/>
      <c r="T243" s="36"/>
      <c r="U243" s="34"/>
      <c r="V243" s="35"/>
      <c r="W243" s="35"/>
      <c r="X243" s="35"/>
      <c r="Y243" s="35"/>
      <c r="Z243" s="35"/>
      <c r="AA243" s="36"/>
      <c r="AB243" s="34"/>
      <c r="AC243" s="35">
        <v>4</v>
      </c>
      <c r="AD243" s="35"/>
      <c r="AE243" s="35"/>
      <c r="AF243" s="35"/>
      <c r="AG243" s="35"/>
      <c r="AH243" s="37"/>
      <c r="AJ243" s="101"/>
    </row>
    <row r="244" spans="1:36" ht="18.75" customHeight="1" x14ac:dyDescent="0.2">
      <c r="A244" s="82">
        <v>238</v>
      </c>
      <c r="F244" s="98" t="s">
        <v>283</v>
      </c>
      <c r="G244" s="104"/>
      <c r="H244" s="90"/>
      <c r="I244" s="90"/>
      <c r="J244" s="90"/>
      <c r="K244" s="90"/>
      <c r="L244" s="90"/>
      <c r="M244" s="90"/>
      <c r="N244" s="21"/>
      <c r="U244" s="21"/>
      <c r="AB244" s="21"/>
      <c r="AC244" s="22">
        <v>2</v>
      </c>
      <c r="AH244" s="7"/>
      <c r="AJ244" s="101"/>
    </row>
    <row r="245" spans="1:36" ht="18.75" customHeight="1" x14ac:dyDescent="0.2">
      <c r="A245" s="82">
        <v>239</v>
      </c>
      <c r="F245" s="64" t="s">
        <v>284</v>
      </c>
      <c r="G245" s="64"/>
      <c r="H245" s="90"/>
      <c r="I245" s="90"/>
      <c r="J245" s="90"/>
      <c r="K245" s="90"/>
      <c r="L245" s="90"/>
      <c r="M245" s="90"/>
      <c r="N245" s="21"/>
      <c r="U245" s="21"/>
      <c r="AB245" s="21">
        <v>7</v>
      </c>
      <c r="AC245" s="22">
        <v>3</v>
      </c>
      <c r="AH245" s="7"/>
      <c r="AJ245" s="101"/>
    </row>
    <row r="246" spans="1:36" ht="19.5" customHeight="1" thickBot="1" x14ac:dyDescent="0.55000000000000004">
      <c r="A246" s="82">
        <v>240</v>
      </c>
      <c r="F246" s="97" t="s">
        <v>285</v>
      </c>
      <c r="G246" s="78"/>
      <c r="H246" s="25"/>
      <c r="I246" s="25"/>
      <c r="J246" s="25"/>
      <c r="K246" s="25"/>
      <c r="L246" s="25"/>
      <c r="M246" s="25"/>
      <c r="N246" s="26"/>
      <c r="O246" s="27"/>
      <c r="P246" s="27"/>
      <c r="Q246" s="27"/>
      <c r="R246" s="27"/>
      <c r="S246" s="27"/>
      <c r="T246" s="3"/>
      <c r="U246" s="26"/>
      <c r="V246" s="27"/>
      <c r="W246" s="27"/>
      <c r="X246" s="27"/>
      <c r="Y246" s="27"/>
      <c r="Z246" s="27"/>
      <c r="AA246" s="3"/>
      <c r="AB246" s="26"/>
      <c r="AC246" s="27">
        <v>4</v>
      </c>
      <c r="AD246" s="27"/>
      <c r="AE246" s="27"/>
      <c r="AF246" s="27"/>
      <c r="AG246" s="27"/>
      <c r="AH246" s="3"/>
      <c r="AJ246" s="101"/>
    </row>
    <row r="247" spans="1:36" ht="18.75" customHeight="1" thickTop="1" x14ac:dyDescent="0.2">
      <c r="A247" s="82">
        <v>241</v>
      </c>
      <c r="F247" s="64" t="s">
        <v>286</v>
      </c>
      <c r="G247" s="73"/>
      <c r="H247" s="7"/>
      <c r="I247" s="90"/>
      <c r="J247" s="90"/>
      <c r="K247" s="90"/>
      <c r="L247" s="90"/>
      <c r="M247" s="90"/>
      <c r="N247" s="21"/>
      <c r="U247" s="21"/>
      <c r="AB247" s="21"/>
      <c r="AC247" s="22">
        <v>2</v>
      </c>
      <c r="AH247" s="101"/>
      <c r="AJ247" s="101"/>
    </row>
    <row r="248" spans="1:36" ht="18.75" customHeight="1" x14ac:dyDescent="0.2">
      <c r="A248" s="82">
        <v>242</v>
      </c>
      <c r="F248" s="64" t="s">
        <v>287</v>
      </c>
      <c r="G248" s="76"/>
      <c r="H248" s="90"/>
      <c r="I248" s="90"/>
      <c r="J248" s="33"/>
      <c r="K248" s="33"/>
      <c r="L248" s="33"/>
      <c r="M248" s="33"/>
      <c r="N248" s="34"/>
      <c r="O248" s="35"/>
      <c r="P248" s="35"/>
      <c r="Q248" s="35"/>
      <c r="R248" s="35"/>
      <c r="S248" s="35"/>
      <c r="T248" s="36"/>
      <c r="U248" s="34"/>
      <c r="V248" s="35"/>
      <c r="W248" s="35"/>
      <c r="X248" s="35"/>
      <c r="Y248" s="35"/>
      <c r="Z248" s="35"/>
      <c r="AA248" s="36"/>
      <c r="AB248" s="34"/>
      <c r="AC248" s="35">
        <v>2</v>
      </c>
      <c r="AD248" s="35"/>
      <c r="AE248" s="35"/>
      <c r="AF248" s="35"/>
      <c r="AG248" s="35"/>
      <c r="AH248" s="36"/>
      <c r="AJ248" s="101"/>
    </row>
    <row r="249" spans="1:36" ht="18.75" customHeight="1" x14ac:dyDescent="0.2">
      <c r="A249" s="82">
        <v>243</v>
      </c>
      <c r="F249" s="98" t="s">
        <v>288</v>
      </c>
      <c r="G249" s="104"/>
      <c r="H249" s="90"/>
      <c r="I249" s="90"/>
      <c r="J249" s="90"/>
      <c r="K249" s="90"/>
      <c r="L249" s="90"/>
      <c r="M249" s="90"/>
      <c r="N249" s="21"/>
      <c r="U249" s="21"/>
      <c r="AB249" s="21">
        <v>1</v>
      </c>
      <c r="AC249" s="22">
        <v>2</v>
      </c>
      <c r="AH249" s="101"/>
      <c r="AJ249" s="101"/>
    </row>
    <row r="250" spans="1:36" ht="18.75" customHeight="1" x14ac:dyDescent="0.2">
      <c r="A250" s="82">
        <v>244</v>
      </c>
      <c r="F250" s="64" t="s">
        <v>289</v>
      </c>
      <c r="G250" s="64"/>
      <c r="H250" s="90"/>
      <c r="I250" s="90"/>
      <c r="J250" s="90"/>
      <c r="K250" s="90"/>
      <c r="L250" s="90"/>
      <c r="M250" s="90"/>
      <c r="N250" s="21"/>
      <c r="U250" s="21"/>
      <c r="AB250" s="21"/>
      <c r="AC250" s="22">
        <v>2</v>
      </c>
      <c r="AH250" s="101"/>
      <c r="AJ250" s="101"/>
    </row>
    <row r="251" spans="1:36" ht="19.5" customHeight="1" thickBot="1" x14ac:dyDescent="0.55000000000000004">
      <c r="A251" s="82">
        <v>245</v>
      </c>
      <c r="F251" s="97" t="s">
        <v>290</v>
      </c>
      <c r="G251" s="78"/>
      <c r="H251" s="25"/>
      <c r="I251" s="25"/>
      <c r="J251" s="25"/>
      <c r="K251" s="25"/>
      <c r="L251" s="25"/>
      <c r="M251" s="25"/>
      <c r="N251" s="26"/>
      <c r="O251" s="27"/>
      <c r="P251" s="27"/>
      <c r="Q251" s="27"/>
      <c r="R251" s="27"/>
      <c r="S251" s="27"/>
      <c r="T251" s="3"/>
      <c r="U251" s="26"/>
      <c r="V251" s="27"/>
      <c r="W251" s="27"/>
      <c r="X251" s="27"/>
      <c r="Y251" s="27"/>
      <c r="Z251" s="27"/>
      <c r="AA251" s="3"/>
      <c r="AB251" s="26"/>
      <c r="AC251" s="27">
        <v>1</v>
      </c>
      <c r="AD251" s="27"/>
      <c r="AE251" s="27"/>
      <c r="AF251" s="27"/>
      <c r="AG251" s="27"/>
      <c r="AH251" s="3"/>
      <c r="AJ251" s="101"/>
    </row>
    <row r="252" spans="1:36" ht="18.75" customHeight="1" thickTop="1" x14ac:dyDescent="0.2">
      <c r="A252" s="82">
        <v>246</v>
      </c>
      <c r="F252" s="64" t="s">
        <v>291</v>
      </c>
      <c r="G252" s="73"/>
      <c r="H252" s="7"/>
      <c r="I252" s="90"/>
      <c r="J252" s="90"/>
      <c r="K252" s="90"/>
      <c r="L252" s="90"/>
      <c r="M252" s="90"/>
      <c r="N252" s="21"/>
      <c r="U252" s="21"/>
      <c r="AB252" s="21"/>
      <c r="AC252" s="22">
        <v>2</v>
      </c>
      <c r="AH252" s="101"/>
      <c r="AJ252" s="101"/>
    </row>
    <row r="253" spans="1:36" ht="18.75" customHeight="1" x14ac:dyDescent="0.2">
      <c r="A253" s="82">
        <v>247</v>
      </c>
      <c r="F253" s="64" t="s">
        <v>292</v>
      </c>
      <c r="G253" s="76"/>
      <c r="H253" s="90"/>
      <c r="I253" s="90"/>
      <c r="J253" s="33"/>
      <c r="K253" s="33"/>
      <c r="L253" s="33"/>
      <c r="M253" s="33"/>
      <c r="N253" s="34"/>
      <c r="O253" s="35"/>
      <c r="P253" s="35"/>
      <c r="Q253" s="35"/>
      <c r="R253" s="35"/>
      <c r="S253" s="35"/>
      <c r="T253" s="36"/>
      <c r="U253" s="34"/>
      <c r="V253" s="35"/>
      <c r="W253" s="35"/>
      <c r="X253" s="35"/>
      <c r="Y253" s="35"/>
      <c r="Z253" s="35"/>
      <c r="AA253" s="36"/>
      <c r="AB253" s="34"/>
      <c r="AC253" s="35">
        <v>4</v>
      </c>
      <c r="AD253" s="35"/>
      <c r="AE253" s="35">
        <v>2</v>
      </c>
      <c r="AF253" s="35"/>
      <c r="AG253" s="35"/>
      <c r="AH253" s="36"/>
      <c r="AJ253" s="101"/>
    </row>
    <row r="254" spans="1:36" ht="18.75" customHeight="1" x14ac:dyDescent="0.2">
      <c r="A254" s="82">
        <v>248</v>
      </c>
      <c r="F254" s="98" t="s">
        <v>293</v>
      </c>
      <c r="G254" s="104"/>
      <c r="H254" s="90"/>
      <c r="I254" s="90"/>
      <c r="J254" s="90"/>
      <c r="K254" s="90"/>
      <c r="L254" s="90"/>
      <c r="M254" s="90"/>
      <c r="N254" s="21"/>
      <c r="U254" s="21"/>
      <c r="AB254" s="21"/>
      <c r="AC254" s="22">
        <v>2</v>
      </c>
      <c r="AH254" s="101"/>
      <c r="AJ254" s="101"/>
    </row>
    <row r="255" spans="1:36" ht="18.75" customHeight="1" x14ac:dyDescent="0.2">
      <c r="A255" s="82">
        <v>249</v>
      </c>
      <c r="F255" s="64" t="s">
        <v>294</v>
      </c>
      <c r="G255" s="64"/>
      <c r="H255" s="90"/>
      <c r="I255" s="90"/>
      <c r="J255" s="90"/>
      <c r="K255" s="90"/>
      <c r="L255" s="90"/>
      <c r="M255" s="90"/>
      <c r="N255" s="21"/>
      <c r="U255" s="21"/>
      <c r="AB255" s="21">
        <v>2</v>
      </c>
      <c r="AC255" s="22">
        <v>2</v>
      </c>
      <c r="AF255" s="22">
        <v>4</v>
      </c>
      <c r="AH255" s="101"/>
      <c r="AJ255" s="101"/>
    </row>
    <row r="256" spans="1:36" ht="19.5" customHeight="1" thickBot="1" x14ac:dyDescent="0.55000000000000004">
      <c r="A256" s="82">
        <v>250</v>
      </c>
      <c r="F256" s="97" t="s">
        <v>295</v>
      </c>
      <c r="G256" s="78"/>
      <c r="H256" s="25"/>
      <c r="I256" s="25"/>
      <c r="J256" s="25"/>
      <c r="K256" s="25"/>
      <c r="L256" s="25"/>
      <c r="M256" s="25"/>
      <c r="N256" s="26"/>
      <c r="O256" s="27"/>
      <c r="P256" s="27"/>
      <c r="Q256" s="27"/>
      <c r="R256" s="27"/>
      <c r="S256" s="27"/>
      <c r="T256" s="3"/>
      <c r="U256" s="26"/>
      <c r="V256" s="27"/>
      <c r="W256" s="27"/>
      <c r="X256" s="27"/>
      <c r="Y256" s="27"/>
      <c r="Z256" s="27"/>
      <c r="AA256" s="3"/>
      <c r="AB256" s="26"/>
      <c r="AC256" s="27"/>
      <c r="AD256" s="27"/>
      <c r="AE256" s="27"/>
      <c r="AF256" s="27"/>
      <c r="AG256" s="27"/>
      <c r="AH256" s="3"/>
      <c r="AJ256" s="101"/>
    </row>
    <row r="257" spans="1:36" ht="18.75" customHeight="1" thickTop="1" x14ac:dyDescent="0.2">
      <c r="A257" s="82">
        <v>251</v>
      </c>
      <c r="F257" s="64" t="s">
        <v>198</v>
      </c>
      <c r="G257" s="73"/>
      <c r="H257" s="7"/>
      <c r="I257" s="90"/>
      <c r="J257" s="90"/>
      <c r="K257" s="90"/>
      <c r="L257" s="90"/>
      <c r="M257" s="90"/>
      <c r="N257" s="21"/>
      <c r="U257" s="21"/>
      <c r="AB257" s="21"/>
      <c r="AC257" s="22">
        <v>3</v>
      </c>
      <c r="AH257" s="101"/>
      <c r="AJ257" s="101"/>
    </row>
    <row r="258" spans="1:36" ht="18.75" customHeight="1" x14ac:dyDescent="0.2">
      <c r="A258" s="82">
        <v>252</v>
      </c>
      <c r="F258" s="64" t="s">
        <v>296</v>
      </c>
      <c r="G258" s="76"/>
      <c r="H258" s="90"/>
      <c r="I258" s="90"/>
      <c r="J258" s="33"/>
      <c r="K258" s="33"/>
      <c r="L258" s="33"/>
      <c r="M258" s="33"/>
      <c r="N258" s="34"/>
      <c r="O258" s="35"/>
      <c r="P258" s="35"/>
      <c r="Q258" s="35"/>
      <c r="R258" s="35"/>
      <c r="S258" s="35"/>
      <c r="T258" s="36"/>
      <c r="U258" s="34"/>
      <c r="V258" s="35"/>
      <c r="W258" s="35"/>
      <c r="X258" s="35"/>
      <c r="Y258" s="35"/>
      <c r="Z258" s="35"/>
      <c r="AA258" s="36"/>
      <c r="AB258" s="34"/>
      <c r="AC258" s="35">
        <v>2</v>
      </c>
      <c r="AD258" s="35"/>
      <c r="AE258" s="35"/>
      <c r="AF258" s="35">
        <v>2</v>
      </c>
      <c r="AG258" s="35"/>
      <c r="AH258" s="36"/>
      <c r="AJ258" s="101"/>
    </row>
    <row r="259" spans="1:36" ht="18.75" customHeight="1" x14ac:dyDescent="0.2">
      <c r="A259" s="82">
        <v>253</v>
      </c>
      <c r="F259" s="98" t="s">
        <v>297</v>
      </c>
      <c r="G259" s="104"/>
      <c r="H259" s="90"/>
      <c r="I259" s="90"/>
      <c r="J259" s="90"/>
      <c r="K259" s="90"/>
      <c r="L259" s="90"/>
      <c r="M259" s="90"/>
      <c r="N259" s="21"/>
      <c r="U259" s="21"/>
      <c r="AB259" s="21"/>
      <c r="AC259" s="22">
        <v>2</v>
      </c>
      <c r="AE259" s="22">
        <v>3</v>
      </c>
      <c r="AH259" s="101"/>
      <c r="AJ259" s="101"/>
    </row>
    <row r="260" spans="1:36" ht="18.75" customHeight="1" x14ac:dyDescent="0.2">
      <c r="A260" s="82">
        <v>254</v>
      </c>
      <c r="F260" s="64" t="s">
        <v>298</v>
      </c>
      <c r="G260" s="64"/>
      <c r="H260" s="90"/>
      <c r="I260" s="90"/>
      <c r="J260" s="90"/>
      <c r="K260" s="90"/>
      <c r="L260" s="90"/>
      <c r="M260" s="90"/>
      <c r="N260" s="21"/>
      <c r="U260" s="21"/>
      <c r="AB260" s="21"/>
      <c r="AC260" s="22">
        <v>1</v>
      </c>
      <c r="AH260" s="101"/>
      <c r="AJ260" s="101"/>
    </row>
    <row r="261" spans="1:36" ht="19.5" customHeight="1" thickBot="1" x14ac:dyDescent="0.55000000000000004">
      <c r="A261" s="82">
        <v>255</v>
      </c>
      <c r="F261" s="97" t="s">
        <v>299</v>
      </c>
      <c r="G261" s="78"/>
      <c r="H261" s="25"/>
      <c r="I261" s="25"/>
      <c r="J261" s="25"/>
      <c r="K261" s="25"/>
      <c r="L261" s="25"/>
      <c r="M261" s="25"/>
      <c r="N261" s="26"/>
      <c r="O261" s="27"/>
      <c r="P261" s="27"/>
      <c r="Q261" s="27"/>
      <c r="R261" s="27"/>
      <c r="S261" s="27"/>
      <c r="T261" s="3"/>
      <c r="U261" s="26"/>
      <c r="V261" s="27"/>
      <c r="W261" s="27"/>
      <c r="X261" s="27"/>
      <c r="Y261" s="27"/>
      <c r="Z261" s="27"/>
      <c r="AA261" s="3"/>
      <c r="AB261" s="26"/>
      <c r="AC261" s="27"/>
      <c r="AD261" s="27"/>
      <c r="AE261" s="27"/>
      <c r="AF261" s="27"/>
      <c r="AG261" s="27"/>
      <c r="AH261" s="3">
        <v>1</v>
      </c>
      <c r="AJ261" s="101"/>
    </row>
    <row r="262" spans="1:36" ht="18.75" customHeight="1" thickTop="1" x14ac:dyDescent="0.2">
      <c r="A262" s="82">
        <v>256</v>
      </c>
      <c r="F262" s="98" t="s">
        <v>300</v>
      </c>
      <c r="G262" s="104"/>
      <c r="H262" s="90"/>
      <c r="I262" s="90"/>
      <c r="J262" s="90"/>
      <c r="K262" s="90"/>
      <c r="L262" s="90"/>
      <c r="M262" s="90"/>
      <c r="N262" s="21"/>
      <c r="U262" s="21"/>
      <c r="AB262" s="21"/>
      <c r="AG262" s="22">
        <v>1</v>
      </c>
      <c r="AH262" s="101"/>
      <c r="AJ262" s="101"/>
    </row>
    <row r="263" spans="1:36" ht="18.75" customHeight="1" x14ac:dyDescent="0.2">
      <c r="A263" s="82">
        <v>257</v>
      </c>
      <c r="F263" s="64" t="s">
        <v>301</v>
      </c>
      <c r="G263" s="64"/>
      <c r="H263" s="90"/>
      <c r="I263" s="90"/>
      <c r="J263" s="90"/>
      <c r="K263" s="90"/>
      <c r="L263" s="90"/>
      <c r="M263" s="90"/>
      <c r="N263" s="21"/>
      <c r="U263" s="21"/>
      <c r="AB263" s="21"/>
      <c r="AG263" s="22">
        <v>4</v>
      </c>
      <c r="AH263" s="101"/>
      <c r="AJ263" s="101"/>
    </row>
    <row r="264" spans="1:36" ht="18.75" customHeight="1" thickBot="1" x14ac:dyDescent="0.55000000000000004">
      <c r="F264" s="97"/>
      <c r="G264" s="78"/>
      <c r="H264" s="25"/>
      <c r="I264" s="25"/>
      <c r="J264" s="25"/>
      <c r="K264" s="25"/>
      <c r="L264" s="25"/>
      <c r="M264" s="25"/>
      <c r="N264" s="26"/>
      <c r="O264" s="27"/>
      <c r="P264" s="27"/>
      <c r="Q264" s="27"/>
      <c r="R264" s="27"/>
      <c r="S264" s="27"/>
      <c r="T264" s="3"/>
      <c r="U264" s="26"/>
      <c r="V264" s="27"/>
      <c r="W264" s="27"/>
      <c r="X264" s="27"/>
      <c r="Y264" s="27"/>
      <c r="Z264" s="27"/>
      <c r="AA264" s="3"/>
      <c r="AB264" s="26"/>
      <c r="AC264" s="27"/>
      <c r="AD264" s="27"/>
      <c r="AE264" s="27"/>
      <c r="AF264" s="27"/>
      <c r="AG264" s="27"/>
      <c r="AH264" s="28"/>
      <c r="AJ264" s="101"/>
    </row>
    <row r="265" spans="1:36" ht="18.75" customHeight="1" thickTop="1" x14ac:dyDescent="0.2">
      <c r="AJ265" s="101"/>
    </row>
    <row r="266" spans="1:36" x14ac:dyDescent="0.2">
      <c r="A266" s="82"/>
    </row>
  </sheetData>
  <autoFilter ref="E5:G266" xr:uid="{94C63086-6BF7-4838-B1A1-6A3510B32DAF}"/>
  <mergeCells count="14">
    <mergeCell ref="K5:K6"/>
    <mergeCell ref="N5:T5"/>
    <mergeCell ref="U5:AA5"/>
    <mergeCell ref="AB5:AH5"/>
    <mergeCell ref="A1:AH1"/>
    <mergeCell ref="A2:AH2"/>
    <mergeCell ref="A3:AH3"/>
    <mergeCell ref="A4:D4"/>
    <mergeCell ref="A5:A6"/>
    <mergeCell ref="C5:C6"/>
    <mergeCell ref="E5:E6"/>
    <mergeCell ref="F5:F6"/>
    <mergeCell ref="G5:G6"/>
    <mergeCell ref="J5:J6"/>
  </mergeCells>
  <pageMargins left="0.11811023622047245" right="0" top="0.74803149606299213" bottom="0.74803149606299213" header="0.31496062992125984" footer="0.31496062992125984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data">
                <anchor moveWithCells="1" sizeWithCells="1">
                  <from>
                    <xdr:col>34</xdr:col>
                    <xdr:colOff>676275</xdr:colOff>
                    <xdr:row>0</xdr:row>
                    <xdr:rowOff>152400</xdr:rowOff>
                  </from>
                  <to>
                    <xdr:col>37</xdr:col>
                    <xdr:colOff>342900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ditdata">
                <anchor moveWithCells="1" sizeWithCells="1">
                  <from>
                    <xdr:col>37</xdr:col>
                    <xdr:colOff>619125</xdr:colOff>
                    <xdr:row>0</xdr:row>
                    <xdr:rowOff>200025</xdr:rowOff>
                  </from>
                  <to>
                    <xdr:col>40</xdr:col>
                    <xdr:colOff>209550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okdata">
                <anchor moveWithCells="1" sizeWithCells="1">
                  <from>
                    <xdr:col>40</xdr:col>
                    <xdr:colOff>352425</xdr:colOff>
                    <xdr:row>0</xdr:row>
                    <xdr:rowOff>180975</xdr:rowOff>
                  </from>
                  <to>
                    <xdr:col>42</xdr:col>
                    <xdr:colOff>638175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M646"/>
  <sheetViews>
    <sheetView workbookViewId="0">
      <selection activeCell="T8" sqref="T8"/>
    </sheetView>
  </sheetViews>
  <sheetFormatPr defaultColWidth="9.125" defaultRowHeight="21.75" x14ac:dyDescent="0.2"/>
  <cols>
    <col min="1" max="1" width="4.125" style="109" customWidth="1"/>
    <col min="2" max="2" width="27.75" style="110" hidden="1" customWidth="1"/>
    <col min="3" max="3" width="20.375" style="110" hidden="1" customWidth="1"/>
    <col min="4" max="4" width="15.875" style="110" hidden="1" customWidth="1"/>
    <col min="5" max="5" width="24.375" style="110" hidden="1" customWidth="1"/>
    <col min="6" max="6" width="43.5" style="110" customWidth="1"/>
    <col min="7" max="7" width="24.125" style="110" hidden="1" customWidth="1"/>
    <col min="8" max="8" width="10" style="109" hidden="1" customWidth="1"/>
    <col min="9" max="9" width="2.75" style="109" hidden="1" customWidth="1"/>
    <col min="10" max="10" width="11.25" style="109" hidden="1" customWidth="1"/>
    <col min="11" max="11" width="9.75" style="109" hidden="1" customWidth="1"/>
    <col min="12" max="12" width="5.375" style="109" hidden="1" customWidth="1"/>
    <col min="13" max="13" width="0.625" style="109" hidden="1" customWidth="1"/>
    <col min="14" max="34" width="3.25" style="109" customWidth="1"/>
    <col min="35" max="277" width="9.125" style="110"/>
    <col min="278" max="278" width="4.375" style="110" customWidth="1"/>
    <col min="279" max="279" width="27" style="110" customWidth="1"/>
    <col min="280" max="280" width="26" style="110" customWidth="1"/>
    <col min="281" max="281" width="0" style="110" hidden="1" customWidth="1"/>
    <col min="282" max="282" width="4.625" style="110" customWidth="1"/>
    <col min="283" max="283" width="4.75" style="110" customWidth="1"/>
    <col min="284" max="284" width="23.875" style="110" customWidth="1"/>
    <col min="285" max="285" width="11" style="110" customWidth="1"/>
    <col min="286" max="286" width="25.25" style="110" customWidth="1"/>
    <col min="287" max="533" width="9.125" style="110"/>
    <col min="534" max="534" width="4.375" style="110" customWidth="1"/>
    <col min="535" max="535" width="27" style="110" customWidth="1"/>
    <col min="536" max="536" width="26" style="110" customWidth="1"/>
    <col min="537" max="537" width="0" style="110" hidden="1" customWidth="1"/>
    <col min="538" max="538" width="4.625" style="110" customWidth="1"/>
    <col min="539" max="539" width="4.75" style="110" customWidth="1"/>
    <col min="540" max="540" width="23.875" style="110" customWidth="1"/>
    <col min="541" max="541" width="11" style="110" customWidth="1"/>
    <col min="542" max="542" width="25.25" style="110" customWidth="1"/>
    <col min="543" max="789" width="9.125" style="110"/>
    <col min="790" max="790" width="4.375" style="110" customWidth="1"/>
    <col min="791" max="791" width="27" style="110" customWidth="1"/>
    <col min="792" max="792" width="26" style="110" customWidth="1"/>
    <col min="793" max="793" width="0" style="110" hidden="1" customWidth="1"/>
    <col min="794" max="794" width="4.625" style="110" customWidth="1"/>
    <col min="795" max="795" width="4.75" style="110" customWidth="1"/>
    <col min="796" max="796" width="23.875" style="110" customWidth="1"/>
    <col min="797" max="797" width="11" style="110" customWidth="1"/>
    <col min="798" max="798" width="25.25" style="110" customWidth="1"/>
    <col min="799" max="1045" width="9.125" style="110"/>
    <col min="1046" max="1046" width="4.375" style="110" customWidth="1"/>
    <col min="1047" max="1047" width="27" style="110" customWidth="1"/>
    <col min="1048" max="1048" width="26" style="110" customWidth="1"/>
    <col min="1049" max="1049" width="0" style="110" hidden="1" customWidth="1"/>
    <col min="1050" max="1050" width="4.625" style="110" customWidth="1"/>
    <col min="1051" max="1051" width="4.75" style="110" customWidth="1"/>
    <col min="1052" max="1052" width="23.875" style="110" customWidth="1"/>
    <col min="1053" max="1053" width="11" style="110" customWidth="1"/>
    <col min="1054" max="1054" width="25.25" style="110" customWidth="1"/>
    <col min="1055" max="1301" width="9.125" style="110"/>
    <col min="1302" max="1302" width="4.375" style="110" customWidth="1"/>
    <col min="1303" max="1303" width="27" style="110" customWidth="1"/>
    <col min="1304" max="1304" width="26" style="110" customWidth="1"/>
    <col min="1305" max="1305" width="0" style="110" hidden="1" customWidth="1"/>
    <col min="1306" max="1306" width="4.625" style="110" customWidth="1"/>
    <col min="1307" max="1307" width="4.75" style="110" customWidth="1"/>
    <col min="1308" max="1308" width="23.875" style="110" customWidth="1"/>
    <col min="1309" max="1309" width="11" style="110" customWidth="1"/>
    <col min="1310" max="1310" width="25.25" style="110" customWidth="1"/>
    <col min="1311" max="1557" width="9.125" style="110"/>
    <col min="1558" max="1558" width="4.375" style="110" customWidth="1"/>
    <col min="1559" max="1559" width="27" style="110" customWidth="1"/>
    <col min="1560" max="1560" width="26" style="110" customWidth="1"/>
    <col min="1561" max="1561" width="0" style="110" hidden="1" customWidth="1"/>
    <col min="1562" max="1562" width="4.625" style="110" customWidth="1"/>
    <col min="1563" max="1563" width="4.75" style="110" customWidth="1"/>
    <col min="1564" max="1564" width="23.875" style="110" customWidth="1"/>
    <col min="1565" max="1565" width="11" style="110" customWidth="1"/>
    <col min="1566" max="1566" width="25.25" style="110" customWidth="1"/>
    <col min="1567" max="1813" width="9.125" style="110"/>
    <col min="1814" max="1814" width="4.375" style="110" customWidth="1"/>
    <col min="1815" max="1815" width="27" style="110" customWidth="1"/>
    <col min="1816" max="1816" width="26" style="110" customWidth="1"/>
    <col min="1817" max="1817" width="0" style="110" hidden="1" customWidth="1"/>
    <col min="1818" max="1818" width="4.625" style="110" customWidth="1"/>
    <col min="1819" max="1819" width="4.75" style="110" customWidth="1"/>
    <col min="1820" max="1820" width="23.875" style="110" customWidth="1"/>
    <col min="1821" max="1821" width="11" style="110" customWidth="1"/>
    <col min="1822" max="1822" width="25.25" style="110" customWidth="1"/>
    <col min="1823" max="2069" width="9.125" style="110"/>
    <col min="2070" max="2070" width="4.375" style="110" customWidth="1"/>
    <col min="2071" max="2071" width="27" style="110" customWidth="1"/>
    <col min="2072" max="2072" width="26" style="110" customWidth="1"/>
    <col min="2073" max="2073" width="0" style="110" hidden="1" customWidth="1"/>
    <col min="2074" max="2074" width="4.625" style="110" customWidth="1"/>
    <col min="2075" max="2075" width="4.75" style="110" customWidth="1"/>
    <col min="2076" max="2076" width="23.875" style="110" customWidth="1"/>
    <col min="2077" max="2077" width="11" style="110" customWidth="1"/>
    <col min="2078" max="2078" width="25.25" style="110" customWidth="1"/>
    <col min="2079" max="2325" width="9.125" style="110"/>
    <col min="2326" max="2326" width="4.375" style="110" customWidth="1"/>
    <col min="2327" max="2327" width="27" style="110" customWidth="1"/>
    <col min="2328" max="2328" width="26" style="110" customWidth="1"/>
    <col min="2329" max="2329" width="0" style="110" hidden="1" customWidth="1"/>
    <col min="2330" max="2330" width="4.625" style="110" customWidth="1"/>
    <col min="2331" max="2331" width="4.75" style="110" customWidth="1"/>
    <col min="2332" max="2332" width="23.875" style="110" customWidth="1"/>
    <col min="2333" max="2333" width="11" style="110" customWidth="1"/>
    <col min="2334" max="2334" width="25.25" style="110" customWidth="1"/>
    <col min="2335" max="2581" width="9.125" style="110"/>
    <col min="2582" max="2582" width="4.375" style="110" customWidth="1"/>
    <col min="2583" max="2583" width="27" style="110" customWidth="1"/>
    <col min="2584" max="2584" width="26" style="110" customWidth="1"/>
    <col min="2585" max="2585" width="0" style="110" hidden="1" customWidth="1"/>
    <col min="2586" max="2586" width="4.625" style="110" customWidth="1"/>
    <col min="2587" max="2587" width="4.75" style="110" customWidth="1"/>
    <col min="2588" max="2588" width="23.875" style="110" customWidth="1"/>
    <col min="2589" max="2589" width="11" style="110" customWidth="1"/>
    <col min="2590" max="2590" width="25.25" style="110" customWidth="1"/>
    <col min="2591" max="2837" width="9.125" style="110"/>
    <col min="2838" max="2838" width="4.375" style="110" customWidth="1"/>
    <col min="2839" max="2839" width="27" style="110" customWidth="1"/>
    <col min="2840" max="2840" width="26" style="110" customWidth="1"/>
    <col min="2841" max="2841" width="0" style="110" hidden="1" customWidth="1"/>
    <col min="2842" max="2842" width="4.625" style="110" customWidth="1"/>
    <col min="2843" max="2843" width="4.75" style="110" customWidth="1"/>
    <col min="2844" max="2844" width="23.875" style="110" customWidth="1"/>
    <col min="2845" max="2845" width="11" style="110" customWidth="1"/>
    <col min="2846" max="2846" width="25.25" style="110" customWidth="1"/>
    <col min="2847" max="3093" width="9.125" style="110"/>
    <col min="3094" max="3094" width="4.375" style="110" customWidth="1"/>
    <col min="3095" max="3095" width="27" style="110" customWidth="1"/>
    <col min="3096" max="3096" width="26" style="110" customWidth="1"/>
    <col min="3097" max="3097" width="0" style="110" hidden="1" customWidth="1"/>
    <col min="3098" max="3098" width="4.625" style="110" customWidth="1"/>
    <col min="3099" max="3099" width="4.75" style="110" customWidth="1"/>
    <col min="3100" max="3100" width="23.875" style="110" customWidth="1"/>
    <col min="3101" max="3101" width="11" style="110" customWidth="1"/>
    <col min="3102" max="3102" width="25.25" style="110" customWidth="1"/>
    <col min="3103" max="3349" width="9.125" style="110"/>
    <col min="3350" max="3350" width="4.375" style="110" customWidth="1"/>
    <col min="3351" max="3351" width="27" style="110" customWidth="1"/>
    <col min="3352" max="3352" width="26" style="110" customWidth="1"/>
    <col min="3353" max="3353" width="0" style="110" hidden="1" customWidth="1"/>
    <col min="3354" max="3354" width="4.625" style="110" customWidth="1"/>
    <col min="3355" max="3355" width="4.75" style="110" customWidth="1"/>
    <col min="3356" max="3356" width="23.875" style="110" customWidth="1"/>
    <col min="3357" max="3357" width="11" style="110" customWidth="1"/>
    <col min="3358" max="3358" width="25.25" style="110" customWidth="1"/>
    <col min="3359" max="3605" width="9.125" style="110"/>
    <col min="3606" max="3606" width="4.375" style="110" customWidth="1"/>
    <col min="3607" max="3607" width="27" style="110" customWidth="1"/>
    <col min="3608" max="3608" width="26" style="110" customWidth="1"/>
    <col min="3609" max="3609" width="0" style="110" hidden="1" customWidth="1"/>
    <col min="3610" max="3610" width="4.625" style="110" customWidth="1"/>
    <col min="3611" max="3611" width="4.75" style="110" customWidth="1"/>
    <col min="3612" max="3612" width="23.875" style="110" customWidth="1"/>
    <col min="3613" max="3613" width="11" style="110" customWidth="1"/>
    <col min="3614" max="3614" width="25.25" style="110" customWidth="1"/>
    <col min="3615" max="3861" width="9.125" style="110"/>
    <col min="3862" max="3862" width="4.375" style="110" customWidth="1"/>
    <col min="3863" max="3863" width="27" style="110" customWidth="1"/>
    <col min="3864" max="3864" width="26" style="110" customWidth="1"/>
    <col min="3865" max="3865" width="0" style="110" hidden="1" customWidth="1"/>
    <col min="3866" max="3866" width="4.625" style="110" customWidth="1"/>
    <col min="3867" max="3867" width="4.75" style="110" customWidth="1"/>
    <col min="3868" max="3868" width="23.875" style="110" customWidth="1"/>
    <col min="3869" max="3869" width="11" style="110" customWidth="1"/>
    <col min="3870" max="3870" width="25.25" style="110" customWidth="1"/>
    <col min="3871" max="4117" width="9.125" style="110"/>
    <col min="4118" max="4118" width="4.375" style="110" customWidth="1"/>
    <col min="4119" max="4119" width="27" style="110" customWidth="1"/>
    <col min="4120" max="4120" width="26" style="110" customWidth="1"/>
    <col min="4121" max="4121" width="0" style="110" hidden="1" customWidth="1"/>
    <col min="4122" max="4122" width="4.625" style="110" customWidth="1"/>
    <col min="4123" max="4123" width="4.75" style="110" customWidth="1"/>
    <col min="4124" max="4124" width="23.875" style="110" customWidth="1"/>
    <col min="4125" max="4125" width="11" style="110" customWidth="1"/>
    <col min="4126" max="4126" width="25.25" style="110" customWidth="1"/>
    <col min="4127" max="4373" width="9.125" style="110"/>
    <col min="4374" max="4374" width="4.375" style="110" customWidth="1"/>
    <col min="4375" max="4375" width="27" style="110" customWidth="1"/>
    <col min="4376" max="4376" width="26" style="110" customWidth="1"/>
    <col min="4377" max="4377" width="0" style="110" hidden="1" customWidth="1"/>
    <col min="4378" max="4378" width="4.625" style="110" customWidth="1"/>
    <col min="4379" max="4379" width="4.75" style="110" customWidth="1"/>
    <col min="4380" max="4380" width="23.875" style="110" customWidth="1"/>
    <col min="4381" max="4381" width="11" style="110" customWidth="1"/>
    <col min="4382" max="4382" width="25.25" style="110" customWidth="1"/>
    <col min="4383" max="4629" width="9.125" style="110"/>
    <col min="4630" max="4630" width="4.375" style="110" customWidth="1"/>
    <col min="4631" max="4631" width="27" style="110" customWidth="1"/>
    <col min="4632" max="4632" width="26" style="110" customWidth="1"/>
    <col min="4633" max="4633" width="0" style="110" hidden="1" customWidth="1"/>
    <col min="4634" max="4634" width="4.625" style="110" customWidth="1"/>
    <col min="4635" max="4635" width="4.75" style="110" customWidth="1"/>
    <col min="4636" max="4636" width="23.875" style="110" customWidth="1"/>
    <col min="4637" max="4637" width="11" style="110" customWidth="1"/>
    <col min="4638" max="4638" width="25.25" style="110" customWidth="1"/>
    <col min="4639" max="4885" width="9.125" style="110"/>
    <col min="4886" max="4886" width="4.375" style="110" customWidth="1"/>
    <col min="4887" max="4887" width="27" style="110" customWidth="1"/>
    <col min="4888" max="4888" width="26" style="110" customWidth="1"/>
    <col min="4889" max="4889" width="0" style="110" hidden="1" customWidth="1"/>
    <col min="4890" max="4890" width="4.625" style="110" customWidth="1"/>
    <col min="4891" max="4891" width="4.75" style="110" customWidth="1"/>
    <col min="4892" max="4892" width="23.875" style="110" customWidth="1"/>
    <col min="4893" max="4893" width="11" style="110" customWidth="1"/>
    <col min="4894" max="4894" width="25.25" style="110" customWidth="1"/>
    <col min="4895" max="5141" width="9.125" style="110"/>
    <col min="5142" max="5142" width="4.375" style="110" customWidth="1"/>
    <col min="5143" max="5143" width="27" style="110" customWidth="1"/>
    <col min="5144" max="5144" width="26" style="110" customWidth="1"/>
    <col min="5145" max="5145" width="0" style="110" hidden="1" customWidth="1"/>
    <col min="5146" max="5146" width="4.625" style="110" customWidth="1"/>
    <col min="5147" max="5147" width="4.75" style="110" customWidth="1"/>
    <col min="5148" max="5148" width="23.875" style="110" customWidth="1"/>
    <col min="5149" max="5149" width="11" style="110" customWidth="1"/>
    <col min="5150" max="5150" width="25.25" style="110" customWidth="1"/>
    <col min="5151" max="5397" width="9.125" style="110"/>
    <col min="5398" max="5398" width="4.375" style="110" customWidth="1"/>
    <col min="5399" max="5399" width="27" style="110" customWidth="1"/>
    <col min="5400" max="5400" width="26" style="110" customWidth="1"/>
    <col min="5401" max="5401" width="0" style="110" hidden="1" customWidth="1"/>
    <col min="5402" max="5402" width="4.625" style="110" customWidth="1"/>
    <col min="5403" max="5403" width="4.75" style="110" customWidth="1"/>
    <col min="5404" max="5404" width="23.875" style="110" customWidth="1"/>
    <col min="5405" max="5405" width="11" style="110" customWidth="1"/>
    <col min="5406" max="5406" width="25.25" style="110" customWidth="1"/>
    <col min="5407" max="5653" width="9.125" style="110"/>
    <col min="5654" max="5654" width="4.375" style="110" customWidth="1"/>
    <col min="5655" max="5655" width="27" style="110" customWidth="1"/>
    <col min="5656" max="5656" width="26" style="110" customWidth="1"/>
    <col min="5657" max="5657" width="0" style="110" hidden="1" customWidth="1"/>
    <col min="5658" max="5658" width="4.625" style="110" customWidth="1"/>
    <col min="5659" max="5659" width="4.75" style="110" customWidth="1"/>
    <col min="5660" max="5660" width="23.875" style="110" customWidth="1"/>
    <col min="5661" max="5661" width="11" style="110" customWidth="1"/>
    <col min="5662" max="5662" width="25.25" style="110" customWidth="1"/>
    <col min="5663" max="5909" width="9.125" style="110"/>
    <col min="5910" max="5910" width="4.375" style="110" customWidth="1"/>
    <col min="5911" max="5911" width="27" style="110" customWidth="1"/>
    <col min="5912" max="5912" width="26" style="110" customWidth="1"/>
    <col min="5913" max="5913" width="0" style="110" hidden="1" customWidth="1"/>
    <col min="5914" max="5914" width="4.625" style="110" customWidth="1"/>
    <col min="5915" max="5915" width="4.75" style="110" customWidth="1"/>
    <col min="5916" max="5916" width="23.875" style="110" customWidth="1"/>
    <col min="5917" max="5917" width="11" style="110" customWidth="1"/>
    <col min="5918" max="5918" width="25.25" style="110" customWidth="1"/>
    <col min="5919" max="6165" width="9.125" style="110"/>
    <col min="6166" max="6166" width="4.375" style="110" customWidth="1"/>
    <col min="6167" max="6167" width="27" style="110" customWidth="1"/>
    <col min="6168" max="6168" width="26" style="110" customWidth="1"/>
    <col min="6169" max="6169" width="0" style="110" hidden="1" customWidth="1"/>
    <col min="6170" max="6170" width="4.625" style="110" customWidth="1"/>
    <col min="6171" max="6171" width="4.75" style="110" customWidth="1"/>
    <col min="6172" max="6172" width="23.875" style="110" customWidth="1"/>
    <col min="6173" max="6173" width="11" style="110" customWidth="1"/>
    <col min="6174" max="6174" width="25.25" style="110" customWidth="1"/>
    <col min="6175" max="6421" width="9.125" style="110"/>
    <col min="6422" max="6422" width="4.375" style="110" customWidth="1"/>
    <col min="6423" max="6423" width="27" style="110" customWidth="1"/>
    <col min="6424" max="6424" width="26" style="110" customWidth="1"/>
    <col min="6425" max="6425" width="0" style="110" hidden="1" customWidth="1"/>
    <col min="6426" max="6426" width="4.625" style="110" customWidth="1"/>
    <col min="6427" max="6427" width="4.75" style="110" customWidth="1"/>
    <col min="6428" max="6428" width="23.875" style="110" customWidth="1"/>
    <col min="6429" max="6429" width="11" style="110" customWidth="1"/>
    <col min="6430" max="6430" width="25.25" style="110" customWidth="1"/>
    <col min="6431" max="6677" width="9.125" style="110"/>
    <col min="6678" max="6678" width="4.375" style="110" customWidth="1"/>
    <col min="6679" max="6679" width="27" style="110" customWidth="1"/>
    <col min="6680" max="6680" width="26" style="110" customWidth="1"/>
    <col min="6681" max="6681" width="0" style="110" hidden="1" customWidth="1"/>
    <col min="6682" max="6682" width="4.625" style="110" customWidth="1"/>
    <col min="6683" max="6683" width="4.75" style="110" customWidth="1"/>
    <col min="6684" max="6684" width="23.875" style="110" customWidth="1"/>
    <col min="6685" max="6685" width="11" style="110" customWidth="1"/>
    <col min="6686" max="6686" width="25.25" style="110" customWidth="1"/>
    <col min="6687" max="6933" width="9.125" style="110"/>
    <col min="6934" max="6934" width="4.375" style="110" customWidth="1"/>
    <col min="6935" max="6935" width="27" style="110" customWidth="1"/>
    <col min="6936" max="6936" width="26" style="110" customWidth="1"/>
    <col min="6937" max="6937" width="0" style="110" hidden="1" customWidth="1"/>
    <col min="6938" max="6938" width="4.625" style="110" customWidth="1"/>
    <col min="6939" max="6939" width="4.75" style="110" customWidth="1"/>
    <col min="6940" max="6940" width="23.875" style="110" customWidth="1"/>
    <col min="6941" max="6941" width="11" style="110" customWidth="1"/>
    <col min="6942" max="6942" width="25.25" style="110" customWidth="1"/>
    <col min="6943" max="7189" width="9.125" style="110"/>
    <col min="7190" max="7190" width="4.375" style="110" customWidth="1"/>
    <col min="7191" max="7191" width="27" style="110" customWidth="1"/>
    <col min="7192" max="7192" width="26" style="110" customWidth="1"/>
    <col min="7193" max="7193" width="0" style="110" hidden="1" customWidth="1"/>
    <col min="7194" max="7194" width="4.625" style="110" customWidth="1"/>
    <col min="7195" max="7195" width="4.75" style="110" customWidth="1"/>
    <col min="7196" max="7196" width="23.875" style="110" customWidth="1"/>
    <col min="7197" max="7197" width="11" style="110" customWidth="1"/>
    <col min="7198" max="7198" width="25.25" style="110" customWidth="1"/>
    <col min="7199" max="7445" width="9.125" style="110"/>
    <col min="7446" max="7446" width="4.375" style="110" customWidth="1"/>
    <col min="7447" max="7447" width="27" style="110" customWidth="1"/>
    <col min="7448" max="7448" width="26" style="110" customWidth="1"/>
    <col min="7449" max="7449" width="0" style="110" hidden="1" customWidth="1"/>
    <col min="7450" max="7450" width="4.625" style="110" customWidth="1"/>
    <col min="7451" max="7451" width="4.75" style="110" customWidth="1"/>
    <col min="7452" max="7452" width="23.875" style="110" customWidth="1"/>
    <col min="7453" max="7453" width="11" style="110" customWidth="1"/>
    <col min="7454" max="7454" width="25.25" style="110" customWidth="1"/>
    <col min="7455" max="7701" width="9.125" style="110"/>
    <col min="7702" max="7702" width="4.375" style="110" customWidth="1"/>
    <col min="7703" max="7703" width="27" style="110" customWidth="1"/>
    <col min="7704" max="7704" width="26" style="110" customWidth="1"/>
    <col min="7705" max="7705" width="0" style="110" hidden="1" customWidth="1"/>
    <col min="7706" max="7706" width="4.625" style="110" customWidth="1"/>
    <col min="7707" max="7707" width="4.75" style="110" customWidth="1"/>
    <col min="7708" max="7708" width="23.875" style="110" customWidth="1"/>
    <col min="7709" max="7709" width="11" style="110" customWidth="1"/>
    <col min="7710" max="7710" width="25.25" style="110" customWidth="1"/>
    <col min="7711" max="7957" width="9.125" style="110"/>
    <col min="7958" max="7958" width="4.375" style="110" customWidth="1"/>
    <col min="7959" max="7959" width="27" style="110" customWidth="1"/>
    <col min="7960" max="7960" width="26" style="110" customWidth="1"/>
    <col min="7961" max="7961" width="0" style="110" hidden="1" customWidth="1"/>
    <col min="7962" max="7962" width="4.625" style="110" customWidth="1"/>
    <col min="7963" max="7963" width="4.75" style="110" customWidth="1"/>
    <col min="7964" max="7964" width="23.875" style="110" customWidth="1"/>
    <col min="7965" max="7965" width="11" style="110" customWidth="1"/>
    <col min="7966" max="7966" width="25.25" style="110" customWidth="1"/>
    <col min="7967" max="8213" width="9.125" style="110"/>
    <col min="8214" max="8214" width="4.375" style="110" customWidth="1"/>
    <col min="8215" max="8215" width="27" style="110" customWidth="1"/>
    <col min="8216" max="8216" width="26" style="110" customWidth="1"/>
    <col min="8217" max="8217" width="0" style="110" hidden="1" customWidth="1"/>
    <col min="8218" max="8218" width="4.625" style="110" customWidth="1"/>
    <col min="8219" max="8219" width="4.75" style="110" customWidth="1"/>
    <col min="8220" max="8220" width="23.875" style="110" customWidth="1"/>
    <col min="8221" max="8221" width="11" style="110" customWidth="1"/>
    <col min="8222" max="8222" width="25.25" style="110" customWidth="1"/>
    <col min="8223" max="8469" width="9.125" style="110"/>
    <col min="8470" max="8470" width="4.375" style="110" customWidth="1"/>
    <col min="8471" max="8471" width="27" style="110" customWidth="1"/>
    <col min="8472" max="8472" width="26" style="110" customWidth="1"/>
    <col min="8473" max="8473" width="0" style="110" hidden="1" customWidth="1"/>
    <col min="8474" max="8474" width="4.625" style="110" customWidth="1"/>
    <col min="8475" max="8475" width="4.75" style="110" customWidth="1"/>
    <col min="8476" max="8476" width="23.875" style="110" customWidth="1"/>
    <col min="8477" max="8477" width="11" style="110" customWidth="1"/>
    <col min="8478" max="8478" width="25.25" style="110" customWidth="1"/>
    <col min="8479" max="8725" width="9.125" style="110"/>
    <col min="8726" max="8726" width="4.375" style="110" customWidth="1"/>
    <col min="8727" max="8727" width="27" style="110" customWidth="1"/>
    <col min="8728" max="8728" width="26" style="110" customWidth="1"/>
    <col min="8729" max="8729" width="0" style="110" hidden="1" customWidth="1"/>
    <col min="8730" max="8730" width="4.625" style="110" customWidth="1"/>
    <col min="8731" max="8731" width="4.75" style="110" customWidth="1"/>
    <col min="8732" max="8732" width="23.875" style="110" customWidth="1"/>
    <col min="8733" max="8733" width="11" style="110" customWidth="1"/>
    <col min="8734" max="8734" width="25.25" style="110" customWidth="1"/>
    <col min="8735" max="8981" width="9.125" style="110"/>
    <col min="8982" max="8982" width="4.375" style="110" customWidth="1"/>
    <col min="8983" max="8983" width="27" style="110" customWidth="1"/>
    <col min="8984" max="8984" width="26" style="110" customWidth="1"/>
    <col min="8985" max="8985" width="0" style="110" hidden="1" customWidth="1"/>
    <col min="8986" max="8986" width="4.625" style="110" customWidth="1"/>
    <col min="8987" max="8987" width="4.75" style="110" customWidth="1"/>
    <col min="8988" max="8988" width="23.875" style="110" customWidth="1"/>
    <col min="8989" max="8989" width="11" style="110" customWidth="1"/>
    <col min="8990" max="8990" width="25.25" style="110" customWidth="1"/>
    <col min="8991" max="9237" width="9.125" style="110"/>
    <col min="9238" max="9238" width="4.375" style="110" customWidth="1"/>
    <col min="9239" max="9239" width="27" style="110" customWidth="1"/>
    <col min="9240" max="9240" width="26" style="110" customWidth="1"/>
    <col min="9241" max="9241" width="0" style="110" hidden="1" customWidth="1"/>
    <col min="9242" max="9242" width="4.625" style="110" customWidth="1"/>
    <col min="9243" max="9243" width="4.75" style="110" customWidth="1"/>
    <col min="9244" max="9244" width="23.875" style="110" customWidth="1"/>
    <col min="9245" max="9245" width="11" style="110" customWidth="1"/>
    <col min="9246" max="9246" width="25.25" style="110" customWidth="1"/>
    <col min="9247" max="9493" width="9.125" style="110"/>
    <col min="9494" max="9494" width="4.375" style="110" customWidth="1"/>
    <col min="9495" max="9495" width="27" style="110" customWidth="1"/>
    <col min="9496" max="9496" width="26" style="110" customWidth="1"/>
    <col min="9497" max="9497" width="0" style="110" hidden="1" customWidth="1"/>
    <col min="9498" max="9498" width="4.625" style="110" customWidth="1"/>
    <col min="9499" max="9499" width="4.75" style="110" customWidth="1"/>
    <col min="9500" max="9500" width="23.875" style="110" customWidth="1"/>
    <col min="9501" max="9501" width="11" style="110" customWidth="1"/>
    <col min="9502" max="9502" width="25.25" style="110" customWidth="1"/>
    <col min="9503" max="9749" width="9.125" style="110"/>
    <col min="9750" max="9750" width="4.375" style="110" customWidth="1"/>
    <col min="9751" max="9751" width="27" style="110" customWidth="1"/>
    <col min="9752" max="9752" width="26" style="110" customWidth="1"/>
    <col min="9753" max="9753" width="0" style="110" hidden="1" customWidth="1"/>
    <col min="9754" max="9754" width="4.625" style="110" customWidth="1"/>
    <col min="9755" max="9755" width="4.75" style="110" customWidth="1"/>
    <col min="9756" max="9756" width="23.875" style="110" customWidth="1"/>
    <col min="9757" max="9757" width="11" style="110" customWidth="1"/>
    <col min="9758" max="9758" width="25.25" style="110" customWidth="1"/>
    <col min="9759" max="10005" width="9.125" style="110"/>
    <col min="10006" max="10006" width="4.375" style="110" customWidth="1"/>
    <col min="10007" max="10007" width="27" style="110" customWidth="1"/>
    <col min="10008" max="10008" width="26" style="110" customWidth="1"/>
    <col min="10009" max="10009" width="0" style="110" hidden="1" customWidth="1"/>
    <col min="10010" max="10010" width="4.625" style="110" customWidth="1"/>
    <col min="10011" max="10011" width="4.75" style="110" customWidth="1"/>
    <col min="10012" max="10012" width="23.875" style="110" customWidth="1"/>
    <col min="10013" max="10013" width="11" style="110" customWidth="1"/>
    <col min="10014" max="10014" width="25.25" style="110" customWidth="1"/>
    <col min="10015" max="10261" width="9.125" style="110"/>
    <col min="10262" max="10262" width="4.375" style="110" customWidth="1"/>
    <col min="10263" max="10263" width="27" style="110" customWidth="1"/>
    <col min="10264" max="10264" width="26" style="110" customWidth="1"/>
    <col min="10265" max="10265" width="0" style="110" hidden="1" customWidth="1"/>
    <col min="10266" max="10266" width="4.625" style="110" customWidth="1"/>
    <col min="10267" max="10267" width="4.75" style="110" customWidth="1"/>
    <col min="10268" max="10268" width="23.875" style="110" customWidth="1"/>
    <col min="10269" max="10269" width="11" style="110" customWidth="1"/>
    <col min="10270" max="10270" width="25.25" style="110" customWidth="1"/>
    <col min="10271" max="10517" width="9.125" style="110"/>
    <col min="10518" max="10518" width="4.375" style="110" customWidth="1"/>
    <col min="10519" max="10519" width="27" style="110" customWidth="1"/>
    <col min="10520" max="10520" width="26" style="110" customWidth="1"/>
    <col min="10521" max="10521" width="0" style="110" hidden="1" customWidth="1"/>
    <col min="10522" max="10522" width="4.625" style="110" customWidth="1"/>
    <col min="10523" max="10523" width="4.75" style="110" customWidth="1"/>
    <col min="10524" max="10524" width="23.875" style="110" customWidth="1"/>
    <col min="10525" max="10525" width="11" style="110" customWidth="1"/>
    <col min="10526" max="10526" width="25.25" style="110" customWidth="1"/>
    <col min="10527" max="10773" width="9.125" style="110"/>
    <col min="10774" max="10774" width="4.375" style="110" customWidth="1"/>
    <col min="10775" max="10775" width="27" style="110" customWidth="1"/>
    <col min="10776" max="10776" width="26" style="110" customWidth="1"/>
    <col min="10777" max="10777" width="0" style="110" hidden="1" customWidth="1"/>
    <col min="10778" max="10778" width="4.625" style="110" customWidth="1"/>
    <col min="10779" max="10779" width="4.75" style="110" customWidth="1"/>
    <col min="10780" max="10780" width="23.875" style="110" customWidth="1"/>
    <col min="10781" max="10781" width="11" style="110" customWidth="1"/>
    <col min="10782" max="10782" width="25.25" style="110" customWidth="1"/>
    <col min="10783" max="11029" width="9.125" style="110"/>
    <col min="11030" max="11030" width="4.375" style="110" customWidth="1"/>
    <col min="11031" max="11031" width="27" style="110" customWidth="1"/>
    <col min="11032" max="11032" width="26" style="110" customWidth="1"/>
    <col min="11033" max="11033" width="0" style="110" hidden="1" customWidth="1"/>
    <col min="11034" max="11034" width="4.625" style="110" customWidth="1"/>
    <col min="11035" max="11035" width="4.75" style="110" customWidth="1"/>
    <col min="11036" max="11036" width="23.875" style="110" customWidth="1"/>
    <col min="11037" max="11037" width="11" style="110" customWidth="1"/>
    <col min="11038" max="11038" width="25.25" style="110" customWidth="1"/>
    <col min="11039" max="11285" width="9.125" style="110"/>
    <col min="11286" max="11286" width="4.375" style="110" customWidth="1"/>
    <col min="11287" max="11287" width="27" style="110" customWidth="1"/>
    <col min="11288" max="11288" width="26" style="110" customWidth="1"/>
    <col min="11289" max="11289" width="0" style="110" hidden="1" customWidth="1"/>
    <col min="11290" max="11290" width="4.625" style="110" customWidth="1"/>
    <col min="11291" max="11291" width="4.75" style="110" customWidth="1"/>
    <col min="11292" max="11292" width="23.875" style="110" customWidth="1"/>
    <col min="11293" max="11293" width="11" style="110" customWidth="1"/>
    <col min="11294" max="11294" width="25.25" style="110" customWidth="1"/>
    <col min="11295" max="11541" width="9.125" style="110"/>
    <col min="11542" max="11542" width="4.375" style="110" customWidth="1"/>
    <col min="11543" max="11543" width="27" style="110" customWidth="1"/>
    <col min="11544" max="11544" width="26" style="110" customWidth="1"/>
    <col min="11545" max="11545" width="0" style="110" hidden="1" customWidth="1"/>
    <col min="11546" max="11546" width="4.625" style="110" customWidth="1"/>
    <col min="11547" max="11547" width="4.75" style="110" customWidth="1"/>
    <col min="11548" max="11548" width="23.875" style="110" customWidth="1"/>
    <col min="11549" max="11549" width="11" style="110" customWidth="1"/>
    <col min="11550" max="11550" width="25.25" style="110" customWidth="1"/>
    <col min="11551" max="11797" width="9.125" style="110"/>
    <col min="11798" max="11798" width="4.375" style="110" customWidth="1"/>
    <col min="11799" max="11799" width="27" style="110" customWidth="1"/>
    <col min="11800" max="11800" width="26" style="110" customWidth="1"/>
    <col min="11801" max="11801" width="0" style="110" hidden="1" customWidth="1"/>
    <col min="11802" max="11802" width="4.625" style="110" customWidth="1"/>
    <col min="11803" max="11803" width="4.75" style="110" customWidth="1"/>
    <col min="11804" max="11804" width="23.875" style="110" customWidth="1"/>
    <col min="11805" max="11805" width="11" style="110" customWidth="1"/>
    <col min="11806" max="11806" width="25.25" style="110" customWidth="1"/>
    <col min="11807" max="12053" width="9.125" style="110"/>
    <col min="12054" max="12054" width="4.375" style="110" customWidth="1"/>
    <col min="12055" max="12055" width="27" style="110" customWidth="1"/>
    <col min="12056" max="12056" width="26" style="110" customWidth="1"/>
    <col min="12057" max="12057" width="0" style="110" hidden="1" customWidth="1"/>
    <col min="12058" max="12058" width="4.625" style="110" customWidth="1"/>
    <col min="12059" max="12059" width="4.75" style="110" customWidth="1"/>
    <col min="12060" max="12060" width="23.875" style="110" customWidth="1"/>
    <col min="12061" max="12061" width="11" style="110" customWidth="1"/>
    <col min="12062" max="12062" width="25.25" style="110" customWidth="1"/>
    <col min="12063" max="12309" width="9.125" style="110"/>
    <col min="12310" max="12310" width="4.375" style="110" customWidth="1"/>
    <col min="12311" max="12311" width="27" style="110" customWidth="1"/>
    <col min="12312" max="12312" width="26" style="110" customWidth="1"/>
    <col min="12313" max="12313" width="0" style="110" hidden="1" customWidth="1"/>
    <col min="12314" max="12314" width="4.625" style="110" customWidth="1"/>
    <col min="12315" max="12315" width="4.75" style="110" customWidth="1"/>
    <col min="12316" max="12316" width="23.875" style="110" customWidth="1"/>
    <col min="12317" max="12317" width="11" style="110" customWidth="1"/>
    <col min="12318" max="12318" width="25.25" style="110" customWidth="1"/>
    <col min="12319" max="12565" width="9.125" style="110"/>
    <col min="12566" max="12566" width="4.375" style="110" customWidth="1"/>
    <col min="12567" max="12567" width="27" style="110" customWidth="1"/>
    <col min="12568" max="12568" width="26" style="110" customWidth="1"/>
    <col min="12569" max="12569" width="0" style="110" hidden="1" customWidth="1"/>
    <col min="12570" max="12570" width="4.625" style="110" customWidth="1"/>
    <col min="12571" max="12571" width="4.75" style="110" customWidth="1"/>
    <col min="12572" max="12572" width="23.875" style="110" customWidth="1"/>
    <col min="12573" max="12573" width="11" style="110" customWidth="1"/>
    <col min="12574" max="12574" width="25.25" style="110" customWidth="1"/>
    <col min="12575" max="12821" width="9.125" style="110"/>
    <col min="12822" max="12822" width="4.375" style="110" customWidth="1"/>
    <col min="12823" max="12823" width="27" style="110" customWidth="1"/>
    <col min="12824" max="12824" width="26" style="110" customWidth="1"/>
    <col min="12825" max="12825" width="0" style="110" hidden="1" customWidth="1"/>
    <col min="12826" max="12826" width="4.625" style="110" customWidth="1"/>
    <col min="12827" max="12827" width="4.75" style="110" customWidth="1"/>
    <col min="12828" max="12828" width="23.875" style="110" customWidth="1"/>
    <col min="12829" max="12829" width="11" style="110" customWidth="1"/>
    <col min="12830" max="12830" width="25.25" style="110" customWidth="1"/>
    <col min="12831" max="13077" width="9.125" style="110"/>
    <col min="13078" max="13078" width="4.375" style="110" customWidth="1"/>
    <col min="13079" max="13079" width="27" style="110" customWidth="1"/>
    <col min="13080" max="13080" width="26" style="110" customWidth="1"/>
    <col min="13081" max="13081" width="0" style="110" hidden="1" customWidth="1"/>
    <col min="13082" max="13082" width="4.625" style="110" customWidth="1"/>
    <col min="13083" max="13083" width="4.75" style="110" customWidth="1"/>
    <col min="13084" max="13084" width="23.875" style="110" customWidth="1"/>
    <col min="13085" max="13085" width="11" style="110" customWidth="1"/>
    <col min="13086" max="13086" width="25.25" style="110" customWidth="1"/>
    <col min="13087" max="13333" width="9.125" style="110"/>
    <col min="13334" max="13334" width="4.375" style="110" customWidth="1"/>
    <col min="13335" max="13335" width="27" style="110" customWidth="1"/>
    <col min="13336" max="13336" width="26" style="110" customWidth="1"/>
    <col min="13337" max="13337" width="0" style="110" hidden="1" customWidth="1"/>
    <col min="13338" max="13338" width="4.625" style="110" customWidth="1"/>
    <col min="13339" max="13339" width="4.75" style="110" customWidth="1"/>
    <col min="13340" max="13340" width="23.875" style="110" customWidth="1"/>
    <col min="13341" max="13341" width="11" style="110" customWidth="1"/>
    <col min="13342" max="13342" width="25.25" style="110" customWidth="1"/>
    <col min="13343" max="13589" width="9.125" style="110"/>
    <col min="13590" max="13590" width="4.375" style="110" customWidth="1"/>
    <col min="13591" max="13591" width="27" style="110" customWidth="1"/>
    <col min="13592" max="13592" width="26" style="110" customWidth="1"/>
    <col min="13593" max="13593" width="0" style="110" hidden="1" customWidth="1"/>
    <col min="13594" max="13594" width="4.625" style="110" customWidth="1"/>
    <col min="13595" max="13595" width="4.75" style="110" customWidth="1"/>
    <col min="13596" max="13596" width="23.875" style="110" customWidth="1"/>
    <col min="13597" max="13597" width="11" style="110" customWidth="1"/>
    <col min="13598" max="13598" width="25.25" style="110" customWidth="1"/>
    <col min="13599" max="13845" width="9.125" style="110"/>
    <col min="13846" max="13846" width="4.375" style="110" customWidth="1"/>
    <col min="13847" max="13847" width="27" style="110" customWidth="1"/>
    <col min="13848" max="13848" width="26" style="110" customWidth="1"/>
    <col min="13849" max="13849" width="0" style="110" hidden="1" customWidth="1"/>
    <col min="13850" max="13850" width="4.625" style="110" customWidth="1"/>
    <col min="13851" max="13851" width="4.75" style="110" customWidth="1"/>
    <col min="13852" max="13852" width="23.875" style="110" customWidth="1"/>
    <col min="13853" max="13853" width="11" style="110" customWidth="1"/>
    <col min="13854" max="13854" width="25.25" style="110" customWidth="1"/>
    <col min="13855" max="14101" width="9.125" style="110"/>
    <col min="14102" max="14102" width="4.375" style="110" customWidth="1"/>
    <col min="14103" max="14103" width="27" style="110" customWidth="1"/>
    <col min="14104" max="14104" width="26" style="110" customWidth="1"/>
    <col min="14105" max="14105" width="0" style="110" hidden="1" customWidth="1"/>
    <col min="14106" max="14106" width="4.625" style="110" customWidth="1"/>
    <col min="14107" max="14107" width="4.75" style="110" customWidth="1"/>
    <col min="14108" max="14108" width="23.875" style="110" customWidth="1"/>
    <col min="14109" max="14109" width="11" style="110" customWidth="1"/>
    <col min="14110" max="14110" width="25.25" style="110" customWidth="1"/>
    <col min="14111" max="14357" width="9.125" style="110"/>
    <col min="14358" max="14358" width="4.375" style="110" customWidth="1"/>
    <col min="14359" max="14359" width="27" style="110" customWidth="1"/>
    <col min="14360" max="14360" width="26" style="110" customWidth="1"/>
    <col min="14361" max="14361" width="0" style="110" hidden="1" customWidth="1"/>
    <col min="14362" max="14362" width="4.625" style="110" customWidth="1"/>
    <col min="14363" max="14363" width="4.75" style="110" customWidth="1"/>
    <col min="14364" max="14364" width="23.875" style="110" customWidth="1"/>
    <col min="14365" max="14365" width="11" style="110" customWidth="1"/>
    <col min="14366" max="14366" width="25.25" style="110" customWidth="1"/>
    <col min="14367" max="14613" width="9.125" style="110"/>
    <col min="14614" max="14614" width="4.375" style="110" customWidth="1"/>
    <col min="14615" max="14615" width="27" style="110" customWidth="1"/>
    <col min="14616" max="14616" width="26" style="110" customWidth="1"/>
    <col min="14617" max="14617" width="0" style="110" hidden="1" customWidth="1"/>
    <col min="14618" max="14618" width="4.625" style="110" customWidth="1"/>
    <col min="14619" max="14619" width="4.75" style="110" customWidth="1"/>
    <col min="14620" max="14620" width="23.875" style="110" customWidth="1"/>
    <col min="14621" max="14621" width="11" style="110" customWidth="1"/>
    <col min="14622" max="14622" width="25.25" style="110" customWidth="1"/>
    <col min="14623" max="14869" width="9.125" style="110"/>
    <col min="14870" max="14870" width="4.375" style="110" customWidth="1"/>
    <col min="14871" max="14871" width="27" style="110" customWidth="1"/>
    <col min="14872" max="14872" width="26" style="110" customWidth="1"/>
    <col min="14873" max="14873" width="0" style="110" hidden="1" customWidth="1"/>
    <col min="14874" max="14874" width="4.625" style="110" customWidth="1"/>
    <col min="14875" max="14875" width="4.75" style="110" customWidth="1"/>
    <col min="14876" max="14876" width="23.875" style="110" customWidth="1"/>
    <col min="14877" max="14877" width="11" style="110" customWidth="1"/>
    <col min="14878" max="14878" width="25.25" style="110" customWidth="1"/>
    <col min="14879" max="15125" width="9.125" style="110"/>
    <col min="15126" max="15126" width="4.375" style="110" customWidth="1"/>
    <col min="15127" max="15127" width="27" style="110" customWidth="1"/>
    <col min="15128" max="15128" width="26" style="110" customWidth="1"/>
    <col min="15129" max="15129" width="0" style="110" hidden="1" customWidth="1"/>
    <col min="15130" max="15130" width="4.625" style="110" customWidth="1"/>
    <col min="15131" max="15131" width="4.75" style="110" customWidth="1"/>
    <col min="15132" max="15132" width="23.875" style="110" customWidth="1"/>
    <col min="15133" max="15133" width="11" style="110" customWidth="1"/>
    <col min="15134" max="15134" width="25.25" style="110" customWidth="1"/>
    <col min="15135" max="15381" width="9.125" style="110"/>
    <col min="15382" max="15382" width="4.375" style="110" customWidth="1"/>
    <col min="15383" max="15383" width="27" style="110" customWidth="1"/>
    <col min="15384" max="15384" width="26" style="110" customWidth="1"/>
    <col min="15385" max="15385" width="0" style="110" hidden="1" customWidth="1"/>
    <col min="15386" max="15386" width="4.625" style="110" customWidth="1"/>
    <col min="15387" max="15387" width="4.75" style="110" customWidth="1"/>
    <col min="15388" max="15388" width="23.875" style="110" customWidth="1"/>
    <col min="15389" max="15389" width="11" style="110" customWidth="1"/>
    <col min="15390" max="15390" width="25.25" style="110" customWidth="1"/>
    <col min="15391" max="15637" width="9.125" style="110"/>
    <col min="15638" max="15638" width="4.375" style="110" customWidth="1"/>
    <col min="15639" max="15639" width="27" style="110" customWidth="1"/>
    <col min="15640" max="15640" width="26" style="110" customWidth="1"/>
    <col min="15641" max="15641" width="0" style="110" hidden="1" customWidth="1"/>
    <col min="15642" max="15642" width="4.625" style="110" customWidth="1"/>
    <col min="15643" max="15643" width="4.75" style="110" customWidth="1"/>
    <col min="15644" max="15644" width="23.875" style="110" customWidth="1"/>
    <col min="15645" max="15645" width="11" style="110" customWidth="1"/>
    <col min="15646" max="15646" width="25.25" style="110" customWidth="1"/>
    <col min="15647" max="15893" width="9.125" style="110"/>
    <col min="15894" max="15894" width="4.375" style="110" customWidth="1"/>
    <col min="15895" max="15895" width="27" style="110" customWidth="1"/>
    <col min="15896" max="15896" width="26" style="110" customWidth="1"/>
    <col min="15897" max="15897" width="0" style="110" hidden="1" customWidth="1"/>
    <col min="15898" max="15898" width="4.625" style="110" customWidth="1"/>
    <col min="15899" max="15899" width="4.75" style="110" customWidth="1"/>
    <col min="15900" max="15900" width="23.875" style="110" customWidth="1"/>
    <col min="15901" max="15901" width="11" style="110" customWidth="1"/>
    <col min="15902" max="15902" width="25.25" style="110" customWidth="1"/>
    <col min="15903" max="16149" width="9.125" style="110"/>
    <col min="16150" max="16150" width="4.375" style="110" customWidth="1"/>
    <col min="16151" max="16151" width="27" style="110" customWidth="1"/>
    <col min="16152" max="16152" width="26" style="110" customWidth="1"/>
    <col min="16153" max="16153" width="0" style="110" hidden="1" customWidth="1"/>
    <col min="16154" max="16154" width="4.625" style="110" customWidth="1"/>
    <col min="16155" max="16155" width="4.75" style="110" customWidth="1"/>
    <col min="16156" max="16156" width="23.875" style="110" customWidth="1"/>
    <col min="16157" max="16157" width="11" style="110" customWidth="1"/>
    <col min="16158" max="16158" width="25.25" style="110" customWidth="1"/>
    <col min="16159" max="16384" width="9.125" style="110"/>
  </cols>
  <sheetData>
    <row r="1" spans="1:39" s="1" customFormat="1" x14ac:dyDescent="0.2">
      <c r="A1" s="134" t="s">
        <v>0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</row>
    <row r="2" spans="1:39" s="1" customFormat="1" x14ac:dyDescent="0.2">
      <c r="A2" s="134" t="s">
        <v>1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M2" s="115" t="s">
        <v>12</v>
      </c>
    </row>
    <row r="3" spans="1:39" s="1" customFormat="1" x14ac:dyDescent="0.2">
      <c r="A3" s="134" t="s">
        <v>2</v>
      </c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4"/>
      <c r="V3" s="134"/>
      <c r="W3" s="134"/>
      <c r="X3" s="134"/>
      <c r="Y3" s="134"/>
      <c r="Z3" s="134"/>
      <c r="AA3" s="134"/>
      <c r="AB3" s="134"/>
      <c r="AC3" s="134"/>
      <c r="AD3" s="134"/>
      <c r="AE3" s="134"/>
      <c r="AF3" s="134"/>
      <c r="AG3" s="134"/>
      <c r="AH3" s="134"/>
      <c r="AM3" s="115" t="s">
        <v>13</v>
      </c>
    </row>
    <row r="4" spans="1:39" s="1" customFormat="1" ht="19.5" thickBot="1" x14ac:dyDescent="0.25">
      <c r="A4" s="141"/>
      <c r="B4" s="141"/>
      <c r="C4" s="141"/>
      <c r="D4" s="141"/>
      <c r="E4" s="2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05"/>
      <c r="AB4" s="105"/>
      <c r="AC4" s="105"/>
      <c r="AD4" s="105"/>
      <c r="AE4" s="105"/>
      <c r="AF4" s="105"/>
      <c r="AG4" s="105"/>
      <c r="AH4" s="105"/>
      <c r="AM4" s="115" t="s">
        <v>14</v>
      </c>
    </row>
    <row r="5" spans="1:39" s="1" customFormat="1" ht="22.5" thickTop="1" x14ac:dyDescent="0.2">
      <c r="A5" s="142" t="s">
        <v>3</v>
      </c>
      <c r="B5" s="111"/>
      <c r="C5" s="143" t="s">
        <v>4</v>
      </c>
      <c r="D5" s="112"/>
      <c r="E5" s="143" t="s">
        <v>5</v>
      </c>
      <c r="F5" s="136" t="s">
        <v>302</v>
      </c>
      <c r="G5" s="143" t="s">
        <v>6</v>
      </c>
      <c r="H5" s="111"/>
      <c r="I5" s="111" t="s">
        <v>7</v>
      </c>
      <c r="J5" s="139" t="s">
        <v>8</v>
      </c>
      <c r="K5" s="139" t="s">
        <v>9</v>
      </c>
      <c r="L5" s="106"/>
      <c r="M5" s="106"/>
      <c r="N5" s="131">
        <v>2559</v>
      </c>
      <c r="O5" s="132"/>
      <c r="P5" s="132"/>
      <c r="Q5" s="132"/>
      <c r="R5" s="132"/>
      <c r="S5" s="132"/>
      <c r="T5" s="133"/>
      <c r="U5" s="131">
        <v>2560</v>
      </c>
      <c r="V5" s="132"/>
      <c r="W5" s="132"/>
      <c r="X5" s="132"/>
      <c r="Y5" s="132"/>
      <c r="Z5" s="132"/>
      <c r="AA5" s="133"/>
      <c r="AB5" s="131">
        <v>2561</v>
      </c>
      <c r="AC5" s="132"/>
      <c r="AD5" s="132"/>
      <c r="AE5" s="132"/>
      <c r="AF5" s="132"/>
      <c r="AG5" s="132"/>
      <c r="AH5" s="133"/>
      <c r="AM5" s="115" t="s">
        <v>15</v>
      </c>
    </row>
    <row r="6" spans="1:39" s="1" customFormat="1" ht="22.5" thickBot="1" x14ac:dyDescent="0.25">
      <c r="A6" s="142"/>
      <c r="B6" s="111"/>
      <c r="C6" s="143"/>
      <c r="D6" s="112"/>
      <c r="E6" s="143"/>
      <c r="F6" s="138"/>
      <c r="G6" s="144"/>
      <c r="H6" s="114"/>
      <c r="I6" s="114"/>
      <c r="J6" s="140"/>
      <c r="K6" s="140"/>
      <c r="L6" s="114" t="s">
        <v>10</v>
      </c>
      <c r="M6" s="114" t="s">
        <v>11</v>
      </c>
      <c r="N6" s="8" t="s">
        <v>12</v>
      </c>
      <c r="O6" s="9" t="s">
        <v>13</v>
      </c>
      <c r="P6" s="9" t="s">
        <v>14</v>
      </c>
      <c r="Q6" s="9" t="s">
        <v>15</v>
      </c>
      <c r="R6" s="9" t="s">
        <v>16</v>
      </c>
      <c r="S6" s="9" t="s">
        <v>17</v>
      </c>
      <c r="T6" s="10" t="s">
        <v>18</v>
      </c>
      <c r="U6" s="8" t="s">
        <v>12</v>
      </c>
      <c r="V6" s="9" t="s">
        <v>13</v>
      </c>
      <c r="W6" s="9" t="s">
        <v>14</v>
      </c>
      <c r="X6" s="9" t="s">
        <v>15</v>
      </c>
      <c r="Y6" s="9" t="s">
        <v>16</v>
      </c>
      <c r="Z6" s="9" t="s">
        <v>17</v>
      </c>
      <c r="AA6" s="10" t="s">
        <v>18</v>
      </c>
      <c r="AB6" s="8" t="s">
        <v>12</v>
      </c>
      <c r="AC6" s="9" t="s">
        <v>13</v>
      </c>
      <c r="AD6" s="9" t="s">
        <v>14</v>
      </c>
      <c r="AE6" s="9" t="s">
        <v>15</v>
      </c>
      <c r="AF6" s="9" t="s">
        <v>16</v>
      </c>
      <c r="AG6" s="9" t="s">
        <v>17</v>
      </c>
      <c r="AH6" s="10" t="s">
        <v>18</v>
      </c>
      <c r="AM6" s="115" t="s">
        <v>16</v>
      </c>
    </row>
    <row r="7" spans="1:39" ht="20.25" thickTop="1" thickBot="1" x14ac:dyDescent="0.35">
      <c r="F7" s="47" t="s">
        <v>130</v>
      </c>
      <c r="N7" s="26"/>
      <c r="O7" s="27"/>
      <c r="P7" s="27"/>
      <c r="Q7" s="27">
        <v>2</v>
      </c>
      <c r="R7" s="27"/>
      <c r="S7" s="27">
        <v>2</v>
      </c>
      <c r="T7" s="3">
        <v>2</v>
      </c>
      <c r="U7" s="26"/>
      <c r="V7" s="27"/>
      <c r="W7" s="27"/>
      <c r="X7" s="27"/>
      <c r="Y7" s="27"/>
      <c r="Z7" s="27"/>
      <c r="AA7" s="3"/>
      <c r="AB7" s="26"/>
      <c r="AC7" s="27"/>
      <c r="AD7" s="27"/>
      <c r="AE7" s="27"/>
      <c r="AF7" s="27"/>
      <c r="AG7" s="27"/>
      <c r="AH7" s="28"/>
      <c r="AM7" s="115" t="s">
        <v>17</v>
      </c>
    </row>
    <row r="8" spans="1:39" ht="22.5" thickTop="1" x14ac:dyDescent="0.2">
      <c r="F8" s="51" t="s">
        <v>51</v>
      </c>
      <c r="N8" s="124"/>
      <c r="O8" s="12"/>
      <c r="P8" s="12"/>
      <c r="Q8" s="12"/>
      <c r="R8" s="12"/>
      <c r="S8" s="12"/>
      <c r="T8" s="125">
        <v>2</v>
      </c>
      <c r="U8" s="124"/>
      <c r="V8" s="12"/>
      <c r="W8" s="12"/>
      <c r="X8" s="12"/>
      <c r="Y8" s="12"/>
      <c r="Z8" s="12"/>
      <c r="AA8" s="125"/>
      <c r="AB8" s="124"/>
      <c r="AC8" s="12"/>
      <c r="AD8" s="12"/>
      <c r="AE8" s="12"/>
      <c r="AF8" s="12"/>
      <c r="AG8" s="12"/>
      <c r="AH8" s="126"/>
      <c r="AM8" s="115" t="s">
        <v>18</v>
      </c>
    </row>
    <row r="9" spans="1:39" x14ac:dyDescent="0.2">
      <c r="F9" s="52" t="s">
        <v>52</v>
      </c>
      <c r="N9" s="34"/>
      <c r="O9" s="35"/>
      <c r="P9" s="35"/>
      <c r="Q9" s="35"/>
      <c r="R9" s="35"/>
      <c r="S9" s="35"/>
      <c r="T9" s="36">
        <v>1</v>
      </c>
      <c r="U9" s="34"/>
      <c r="V9" s="35"/>
      <c r="W9" s="35"/>
      <c r="X9" s="35"/>
      <c r="Y9" s="35"/>
      <c r="Z9" s="35"/>
      <c r="AA9" s="36">
        <v>2</v>
      </c>
      <c r="AB9" s="34"/>
      <c r="AC9" s="35"/>
      <c r="AD9" s="35"/>
      <c r="AE9" s="35"/>
      <c r="AF9" s="35"/>
      <c r="AG9" s="35"/>
      <c r="AH9" s="37"/>
    </row>
    <row r="10" spans="1:39" x14ac:dyDescent="0.5">
      <c r="F10" s="53" t="s">
        <v>53</v>
      </c>
      <c r="N10" s="21"/>
      <c r="O10" s="22"/>
      <c r="P10" s="22"/>
      <c r="Q10" s="22"/>
      <c r="R10" s="22"/>
      <c r="S10" s="22"/>
      <c r="T10" s="127">
        <v>2</v>
      </c>
      <c r="U10" s="21"/>
      <c r="V10" s="22"/>
      <c r="W10" s="22"/>
      <c r="X10" s="22"/>
      <c r="Y10" s="22"/>
      <c r="Z10" s="22"/>
      <c r="AA10" s="127"/>
      <c r="AB10" s="21"/>
      <c r="AC10" s="22"/>
      <c r="AD10" s="22"/>
      <c r="AE10" s="22"/>
      <c r="AF10" s="22"/>
      <c r="AG10" s="22"/>
      <c r="AH10" s="7"/>
    </row>
    <row r="11" spans="1:39" ht="22.5" thickBot="1" x14ac:dyDescent="0.55000000000000004">
      <c r="F11" s="54" t="s">
        <v>54</v>
      </c>
      <c r="N11" s="26"/>
      <c r="O11" s="27"/>
      <c r="P11" s="27"/>
      <c r="Q11" s="27"/>
      <c r="R11" s="27"/>
      <c r="S11" s="27"/>
      <c r="T11" s="3">
        <v>1</v>
      </c>
      <c r="U11" s="26"/>
      <c r="V11" s="27"/>
      <c r="W11" s="27"/>
      <c r="X11" s="27"/>
      <c r="Y11" s="27"/>
      <c r="Z11" s="27"/>
      <c r="AA11" s="3"/>
      <c r="AB11" s="26"/>
      <c r="AC11" s="27"/>
      <c r="AD11" s="27"/>
      <c r="AE11" s="27"/>
      <c r="AF11" s="27"/>
      <c r="AG11" s="27"/>
      <c r="AH11" s="28"/>
    </row>
    <row r="12" spans="1:39" ht="21" customHeight="1" thickTop="1" x14ac:dyDescent="0.2">
      <c r="F12" s="49" t="s">
        <v>55</v>
      </c>
      <c r="N12" s="124"/>
      <c r="O12" s="12"/>
      <c r="P12" s="12"/>
      <c r="Q12" s="12"/>
      <c r="R12" s="12"/>
      <c r="S12" s="12"/>
      <c r="T12" s="125">
        <v>2</v>
      </c>
      <c r="U12" s="124"/>
      <c r="V12" s="12"/>
      <c r="W12" s="12"/>
      <c r="X12" s="12"/>
      <c r="Y12" s="12"/>
      <c r="Z12" s="12"/>
      <c r="AA12" s="125"/>
      <c r="AB12" s="124"/>
      <c r="AC12" s="12"/>
      <c r="AD12" s="12"/>
      <c r="AE12" s="12"/>
      <c r="AF12" s="12"/>
      <c r="AG12" s="12"/>
      <c r="AH12" s="126"/>
    </row>
    <row r="13" spans="1:39" x14ac:dyDescent="0.5">
      <c r="F13" s="46" t="s">
        <v>56</v>
      </c>
      <c r="N13" s="21"/>
      <c r="O13" s="22"/>
      <c r="P13" s="22"/>
      <c r="Q13" s="22"/>
      <c r="R13" s="22"/>
      <c r="S13" s="22"/>
      <c r="T13" s="127">
        <v>2</v>
      </c>
      <c r="U13" s="21"/>
      <c r="V13" s="22"/>
      <c r="W13" s="22"/>
      <c r="X13" s="22"/>
      <c r="Y13" s="22"/>
      <c r="Z13" s="22"/>
      <c r="AA13" s="127"/>
      <c r="AB13" s="21"/>
      <c r="AC13" s="22"/>
      <c r="AD13" s="22"/>
      <c r="AE13" s="22"/>
      <c r="AF13" s="22"/>
      <c r="AG13" s="22"/>
      <c r="AH13" s="7"/>
    </row>
    <row r="14" spans="1:39" x14ac:dyDescent="0.5">
      <c r="F14" s="46" t="s">
        <v>57</v>
      </c>
      <c r="N14" s="21"/>
      <c r="O14" s="22"/>
      <c r="P14" s="22"/>
      <c r="Q14" s="22"/>
      <c r="R14" s="22"/>
      <c r="S14" s="22"/>
      <c r="T14" s="127">
        <v>1</v>
      </c>
      <c r="U14" s="21"/>
      <c r="V14" s="22"/>
      <c r="W14" s="22"/>
      <c r="X14" s="22"/>
      <c r="Y14" s="22"/>
      <c r="Z14" s="22"/>
      <c r="AA14" s="127"/>
      <c r="AB14" s="21"/>
      <c r="AC14" s="22"/>
      <c r="AD14" s="22"/>
      <c r="AE14" s="22"/>
      <c r="AF14" s="22"/>
      <c r="AG14" s="22"/>
      <c r="AH14" s="7"/>
    </row>
    <row r="15" spans="1:39" ht="22.5" thickBot="1" x14ac:dyDescent="0.55000000000000004">
      <c r="F15" s="47" t="s">
        <v>58</v>
      </c>
      <c r="N15" s="26"/>
      <c r="O15" s="27"/>
      <c r="P15" s="27"/>
      <c r="Q15" s="27"/>
      <c r="R15" s="27"/>
      <c r="S15" s="27"/>
      <c r="T15" s="3">
        <v>2</v>
      </c>
      <c r="U15" s="26"/>
      <c r="V15" s="27"/>
      <c r="W15" s="27"/>
      <c r="X15" s="27"/>
      <c r="Y15" s="27"/>
      <c r="Z15" s="27"/>
      <c r="AA15" s="3"/>
      <c r="AB15" s="26"/>
      <c r="AC15" s="27"/>
      <c r="AD15" s="27"/>
      <c r="AE15" s="27"/>
      <c r="AF15" s="27"/>
      <c r="AG15" s="27"/>
      <c r="AH15" s="28"/>
    </row>
    <row r="16" spans="1:39" ht="22.5" thickTop="1" x14ac:dyDescent="0.5">
      <c r="F16" s="55" t="s">
        <v>59</v>
      </c>
      <c r="N16" s="21"/>
      <c r="O16" s="22"/>
      <c r="P16" s="22"/>
      <c r="Q16" s="22"/>
      <c r="R16" s="22"/>
      <c r="S16" s="22"/>
      <c r="T16" s="127">
        <v>2</v>
      </c>
      <c r="U16" s="21"/>
      <c r="V16" s="22"/>
      <c r="W16" s="22"/>
      <c r="X16" s="22"/>
      <c r="Y16" s="22"/>
      <c r="Z16" s="22"/>
      <c r="AA16" s="127"/>
      <c r="AB16" s="21"/>
      <c r="AC16" s="22"/>
      <c r="AD16" s="22"/>
      <c r="AE16" s="22"/>
      <c r="AF16" s="22"/>
      <c r="AG16" s="22"/>
      <c r="AH16" s="7"/>
    </row>
    <row r="17" spans="6:34" x14ac:dyDescent="0.5">
      <c r="F17" s="46" t="s">
        <v>60</v>
      </c>
      <c r="N17" s="34"/>
      <c r="O17" s="35"/>
      <c r="P17" s="35"/>
      <c r="Q17" s="35"/>
      <c r="R17" s="35"/>
      <c r="S17" s="35"/>
      <c r="T17" s="36">
        <v>1</v>
      </c>
      <c r="U17" s="34"/>
      <c r="V17" s="35"/>
      <c r="W17" s="35"/>
      <c r="X17" s="35"/>
      <c r="Y17" s="35"/>
      <c r="Z17" s="35"/>
      <c r="AA17" s="36"/>
      <c r="AB17" s="34"/>
      <c r="AC17" s="35"/>
      <c r="AD17" s="35"/>
      <c r="AE17" s="35"/>
      <c r="AF17" s="35"/>
      <c r="AG17" s="35"/>
      <c r="AH17" s="37"/>
    </row>
    <row r="18" spans="6:34" x14ac:dyDescent="0.2">
      <c r="F18" s="20" t="s">
        <v>61</v>
      </c>
      <c r="N18" s="21"/>
      <c r="O18" s="22"/>
      <c r="P18" s="22"/>
      <c r="Q18" s="22"/>
      <c r="R18" s="22"/>
      <c r="S18" s="22"/>
      <c r="T18" s="127">
        <v>2</v>
      </c>
      <c r="U18" s="21"/>
      <c r="V18" s="22"/>
      <c r="W18" s="22"/>
      <c r="X18" s="22"/>
      <c r="Y18" s="22"/>
      <c r="Z18" s="22"/>
      <c r="AA18" s="127"/>
      <c r="AB18" s="21"/>
      <c r="AC18" s="22"/>
      <c r="AD18" s="22"/>
      <c r="AE18" s="22"/>
      <c r="AF18" s="22"/>
      <c r="AG18" s="22"/>
      <c r="AH18" s="7"/>
    </row>
    <row r="19" spans="6:34" ht="22.5" thickBot="1" x14ac:dyDescent="0.25">
      <c r="F19" s="71" t="s">
        <v>62</v>
      </c>
      <c r="N19" s="26"/>
      <c r="O19" s="27"/>
      <c r="P19" s="27"/>
      <c r="Q19" s="27"/>
      <c r="R19" s="27"/>
      <c r="S19" s="27"/>
      <c r="T19" s="3">
        <v>2</v>
      </c>
      <c r="U19" s="26"/>
      <c r="V19" s="27"/>
      <c r="W19" s="27"/>
      <c r="X19" s="27"/>
      <c r="Y19" s="27"/>
      <c r="Z19" s="27"/>
      <c r="AA19" s="3"/>
      <c r="AB19" s="26"/>
      <c r="AC19" s="27"/>
      <c r="AD19" s="27"/>
      <c r="AE19" s="27"/>
      <c r="AF19" s="27"/>
      <c r="AG19" s="27"/>
      <c r="AH19" s="28"/>
    </row>
    <row r="20" spans="6:34" ht="22.5" thickTop="1" x14ac:dyDescent="0.5">
      <c r="F20" s="40" t="s">
        <v>63</v>
      </c>
      <c r="N20" s="124"/>
      <c r="O20" s="12"/>
      <c r="P20" s="12"/>
      <c r="Q20" s="12"/>
      <c r="R20" s="12"/>
      <c r="S20" s="12"/>
      <c r="T20" s="125">
        <v>1</v>
      </c>
      <c r="U20" s="124"/>
      <c r="V20" s="12"/>
      <c r="W20" s="12"/>
      <c r="X20" s="12"/>
      <c r="Y20" s="12"/>
      <c r="Z20" s="12"/>
      <c r="AA20" s="125"/>
      <c r="AB20" s="124"/>
      <c r="AC20" s="12"/>
      <c r="AD20" s="12"/>
      <c r="AE20" s="12"/>
      <c r="AF20" s="12"/>
      <c r="AG20" s="12"/>
      <c r="AH20" s="126"/>
    </row>
    <row r="21" spans="6:34" ht="18.75" customHeight="1" x14ac:dyDescent="0.2">
      <c r="F21" s="45" t="s">
        <v>64</v>
      </c>
      <c r="N21" s="16"/>
      <c r="O21" s="17"/>
      <c r="P21" s="17"/>
      <c r="Q21" s="17"/>
      <c r="R21" s="17"/>
      <c r="S21" s="17"/>
      <c r="T21" s="18">
        <v>2</v>
      </c>
      <c r="U21" s="16"/>
      <c r="V21" s="17"/>
      <c r="W21" s="17"/>
      <c r="X21" s="17"/>
      <c r="Y21" s="17"/>
      <c r="Z21" s="17"/>
      <c r="AA21" s="18"/>
      <c r="AB21" s="16"/>
      <c r="AC21" s="17"/>
      <c r="AD21" s="17"/>
      <c r="AE21" s="17"/>
      <c r="AF21" s="17"/>
      <c r="AG21" s="17"/>
      <c r="AH21" s="19"/>
    </row>
    <row r="22" spans="6:34" x14ac:dyDescent="0.5">
      <c r="F22" s="46" t="s">
        <v>65</v>
      </c>
      <c r="N22" s="21"/>
      <c r="O22" s="22"/>
      <c r="P22" s="22"/>
      <c r="Q22" s="22"/>
      <c r="R22" s="22"/>
      <c r="S22" s="22"/>
      <c r="T22" s="127">
        <v>2</v>
      </c>
      <c r="U22" s="21"/>
      <c r="V22" s="22"/>
      <c r="W22" s="22"/>
      <c r="X22" s="22"/>
      <c r="Y22" s="22"/>
      <c r="Z22" s="22"/>
      <c r="AA22" s="127"/>
      <c r="AB22" s="21"/>
      <c r="AC22" s="22"/>
      <c r="AD22" s="22"/>
      <c r="AE22" s="22"/>
      <c r="AF22" s="22"/>
      <c r="AG22" s="22"/>
      <c r="AH22" s="7"/>
    </row>
    <row r="23" spans="6:34" x14ac:dyDescent="0.2">
      <c r="F23" s="45" t="s">
        <v>66</v>
      </c>
      <c r="N23" s="21"/>
      <c r="O23" s="22"/>
      <c r="P23" s="22"/>
      <c r="Q23" s="22"/>
      <c r="R23" s="22"/>
      <c r="S23" s="22"/>
      <c r="T23" s="127">
        <v>1</v>
      </c>
      <c r="U23" s="21"/>
      <c r="V23" s="22"/>
      <c r="W23" s="22"/>
      <c r="X23" s="22"/>
      <c r="Y23" s="22"/>
      <c r="Z23" s="22"/>
      <c r="AA23" s="127"/>
      <c r="AB23" s="21"/>
      <c r="AC23" s="22"/>
      <c r="AD23" s="22"/>
      <c r="AE23" s="22"/>
      <c r="AF23" s="22"/>
      <c r="AG23" s="22"/>
      <c r="AH23" s="7"/>
    </row>
    <row r="24" spans="6:34" ht="22.5" thickBot="1" x14ac:dyDescent="0.25">
      <c r="F24" s="80" t="s">
        <v>67</v>
      </c>
      <c r="N24" s="26"/>
      <c r="O24" s="27"/>
      <c r="P24" s="27"/>
      <c r="Q24" s="27"/>
      <c r="R24" s="27"/>
      <c r="S24" s="27"/>
      <c r="T24" s="3">
        <v>1</v>
      </c>
      <c r="U24" s="26"/>
      <c r="V24" s="27"/>
      <c r="W24" s="27"/>
      <c r="X24" s="27"/>
      <c r="Y24" s="27"/>
      <c r="Z24" s="27"/>
      <c r="AA24" s="3"/>
      <c r="AB24" s="26"/>
      <c r="AC24" s="27"/>
      <c r="AD24" s="27"/>
      <c r="AE24" s="27"/>
      <c r="AF24" s="27"/>
      <c r="AG24" s="27"/>
      <c r="AH24" s="28"/>
    </row>
    <row r="25" spans="6:34" ht="18.75" customHeight="1" thickTop="1" x14ac:dyDescent="0.5">
      <c r="F25" s="59" t="s">
        <v>68</v>
      </c>
      <c r="N25" s="21"/>
      <c r="O25" s="22"/>
      <c r="P25" s="22"/>
      <c r="Q25" s="22"/>
      <c r="R25" s="22"/>
      <c r="S25" s="22"/>
      <c r="T25" s="127">
        <v>1</v>
      </c>
      <c r="U25" s="21"/>
      <c r="V25" s="22"/>
      <c r="W25" s="22"/>
      <c r="X25" s="22"/>
      <c r="Y25" s="22"/>
      <c r="Z25" s="22"/>
      <c r="AA25" s="127"/>
      <c r="AB25" s="21"/>
      <c r="AC25" s="22"/>
      <c r="AD25" s="22"/>
      <c r="AE25" s="22"/>
      <c r="AF25" s="22"/>
      <c r="AG25" s="22"/>
      <c r="AH25" s="7"/>
    </row>
    <row r="26" spans="6:34" x14ac:dyDescent="0.2">
      <c r="F26" s="20" t="s">
        <v>69</v>
      </c>
      <c r="N26" s="34"/>
      <c r="O26" s="35"/>
      <c r="P26" s="35"/>
      <c r="Q26" s="35"/>
      <c r="R26" s="35"/>
      <c r="S26" s="35"/>
      <c r="T26" s="36">
        <v>1</v>
      </c>
      <c r="U26" s="34"/>
      <c r="V26" s="35"/>
      <c r="W26" s="35"/>
      <c r="X26" s="35"/>
      <c r="Y26" s="35"/>
      <c r="Z26" s="35"/>
      <c r="AA26" s="36"/>
      <c r="AB26" s="34"/>
      <c r="AC26" s="35"/>
      <c r="AD26" s="35"/>
      <c r="AE26" s="35"/>
      <c r="AF26" s="35"/>
      <c r="AG26" s="35"/>
      <c r="AH26" s="37"/>
    </row>
    <row r="27" spans="6:34" ht="19.5" customHeight="1" x14ac:dyDescent="0.5">
      <c r="F27" s="61" t="s">
        <v>70</v>
      </c>
      <c r="N27" s="21"/>
      <c r="O27" s="22"/>
      <c r="P27" s="22"/>
      <c r="Q27" s="22"/>
      <c r="R27" s="22"/>
      <c r="S27" s="22"/>
      <c r="T27" s="127">
        <v>1</v>
      </c>
      <c r="U27" s="21"/>
      <c r="V27" s="22"/>
      <c r="W27" s="22"/>
      <c r="X27" s="22"/>
      <c r="Y27" s="22"/>
      <c r="Z27" s="22"/>
      <c r="AA27" s="127"/>
      <c r="AB27" s="21"/>
      <c r="AC27" s="22"/>
      <c r="AD27" s="22"/>
      <c r="AE27" s="22"/>
      <c r="AF27" s="22"/>
      <c r="AG27" s="22"/>
      <c r="AH27" s="7"/>
    </row>
    <row r="28" spans="6:34" ht="19.5" customHeight="1" x14ac:dyDescent="0.2">
      <c r="F28" s="20" t="s">
        <v>71</v>
      </c>
      <c r="N28" s="21"/>
      <c r="O28" s="22"/>
      <c r="P28" s="22"/>
      <c r="Q28" s="22"/>
      <c r="R28" s="22"/>
      <c r="S28" s="22"/>
      <c r="T28" s="127">
        <v>1</v>
      </c>
      <c r="U28" s="21"/>
      <c r="V28" s="22"/>
      <c r="W28" s="22"/>
      <c r="X28" s="22"/>
      <c r="Y28" s="22"/>
      <c r="Z28" s="22"/>
      <c r="AA28" s="127"/>
      <c r="AB28" s="21"/>
      <c r="AC28" s="22"/>
      <c r="AD28" s="22"/>
      <c r="AE28" s="22"/>
      <c r="AF28" s="22"/>
      <c r="AG28" s="22"/>
      <c r="AH28" s="7"/>
    </row>
    <row r="29" spans="6:34" ht="22.5" thickBot="1" x14ac:dyDescent="0.25">
      <c r="F29" s="71" t="s">
        <v>72</v>
      </c>
      <c r="N29" s="26"/>
      <c r="O29" s="27"/>
      <c r="P29" s="27"/>
      <c r="Q29" s="27"/>
      <c r="R29" s="27"/>
      <c r="S29" s="27"/>
      <c r="T29" s="3">
        <v>1</v>
      </c>
      <c r="U29" s="26"/>
      <c r="V29" s="27"/>
      <c r="W29" s="27"/>
      <c r="X29" s="27"/>
      <c r="Y29" s="27"/>
      <c r="Z29" s="27"/>
      <c r="AA29" s="3"/>
      <c r="AB29" s="26"/>
      <c r="AC29" s="27"/>
      <c r="AD29" s="27"/>
      <c r="AE29" s="27"/>
      <c r="AF29" s="27"/>
      <c r="AG29" s="27"/>
      <c r="AH29" s="28"/>
    </row>
    <row r="30" spans="6:34" ht="18.75" customHeight="1" thickTop="1" x14ac:dyDescent="0.5">
      <c r="F30" s="11" t="s">
        <v>73</v>
      </c>
      <c r="N30" s="124"/>
      <c r="O30" s="12"/>
      <c r="P30" s="12"/>
      <c r="Q30" s="12"/>
      <c r="R30" s="12"/>
      <c r="S30" s="12"/>
      <c r="T30" s="125">
        <v>1</v>
      </c>
      <c r="U30" s="124"/>
      <c r="V30" s="12"/>
      <c r="W30" s="12"/>
      <c r="X30" s="12"/>
      <c r="Y30" s="12"/>
      <c r="Z30" s="12"/>
      <c r="AA30" s="125"/>
      <c r="AB30" s="124"/>
      <c r="AC30" s="12"/>
      <c r="AD30" s="12"/>
      <c r="AE30" s="12"/>
      <c r="AF30" s="12"/>
      <c r="AG30" s="12"/>
      <c r="AH30" s="126"/>
    </row>
    <row r="31" spans="6:34" x14ac:dyDescent="0.2">
      <c r="F31" s="20" t="s">
        <v>74</v>
      </c>
      <c r="N31" s="34"/>
      <c r="O31" s="35"/>
      <c r="P31" s="35"/>
      <c r="Q31" s="35"/>
      <c r="R31" s="35"/>
      <c r="S31" s="35"/>
      <c r="T31" s="36">
        <v>1</v>
      </c>
      <c r="U31" s="34"/>
      <c r="V31" s="35"/>
      <c r="W31" s="35"/>
      <c r="X31" s="35"/>
      <c r="Y31" s="35"/>
      <c r="Z31" s="35"/>
      <c r="AA31" s="36"/>
      <c r="AB31" s="34"/>
      <c r="AC31" s="35"/>
      <c r="AD31" s="35"/>
      <c r="AE31" s="35"/>
      <c r="AF31" s="35"/>
      <c r="AG31" s="35"/>
      <c r="AH31" s="37"/>
    </row>
    <row r="32" spans="6:34" ht="19.5" customHeight="1" x14ac:dyDescent="0.2">
      <c r="F32" s="63" t="s">
        <v>75</v>
      </c>
      <c r="N32" s="21"/>
      <c r="O32" s="22"/>
      <c r="P32" s="22"/>
      <c r="Q32" s="22"/>
      <c r="R32" s="22"/>
      <c r="S32" s="22"/>
      <c r="T32" s="127">
        <v>1</v>
      </c>
      <c r="U32" s="21"/>
      <c r="V32" s="22"/>
      <c r="W32" s="22"/>
      <c r="X32" s="22"/>
      <c r="Y32" s="22"/>
      <c r="Z32" s="22"/>
      <c r="AA32" s="127"/>
      <c r="AB32" s="21"/>
      <c r="AC32" s="22"/>
      <c r="AD32" s="22"/>
      <c r="AE32" s="22"/>
      <c r="AF32" s="22"/>
      <c r="AG32" s="22"/>
      <c r="AH32" s="7"/>
    </row>
    <row r="33" spans="6:34" ht="19.5" customHeight="1" x14ac:dyDescent="0.5">
      <c r="F33" s="30" t="s">
        <v>76</v>
      </c>
      <c r="N33" s="21"/>
      <c r="O33" s="22"/>
      <c r="P33" s="22"/>
      <c r="Q33" s="22"/>
      <c r="R33" s="22"/>
      <c r="S33" s="22"/>
      <c r="T33" s="127">
        <v>1</v>
      </c>
      <c r="U33" s="21"/>
      <c r="V33" s="22"/>
      <c r="W33" s="22"/>
      <c r="X33" s="22">
        <v>1</v>
      </c>
      <c r="Y33" s="22"/>
      <c r="Z33" s="22"/>
      <c r="AA33" s="127"/>
      <c r="AB33" s="21"/>
      <c r="AC33" s="22"/>
      <c r="AD33" s="22"/>
      <c r="AE33" s="22"/>
      <c r="AF33" s="22"/>
      <c r="AG33" s="22"/>
      <c r="AH33" s="7"/>
    </row>
    <row r="34" spans="6:34" ht="22.5" thickBot="1" x14ac:dyDescent="0.25">
      <c r="F34" s="71" t="s">
        <v>77</v>
      </c>
      <c r="N34" s="26"/>
      <c r="O34" s="27"/>
      <c r="P34" s="27"/>
      <c r="Q34" s="27"/>
      <c r="R34" s="27"/>
      <c r="S34" s="27"/>
      <c r="T34" s="3">
        <v>1</v>
      </c>
      <c r="U34" s="26"/>
      <c r="V34" s="27"/>
      <c r="W34" s="27"/>
      <c r="X34" s="27">
        <v>1</v>
      </c>
      <c r="Y34" s="27"/>
      <c r="Z34" s="27"/>
      <c r="AA34" s="3"/>
      <c r="AB34" s="26"/>
      <c r="AC34" s="27"/>
      <c r="AD34" s="27"/>
      <c r="AE34" s="27"/>
      <c r="AF34" s="27"/>
      <c r="AG34" s="27"/>
      <c r="AH34" s="28"/>
    </row>
    <row r="35" spans="6:34" ht="18.75" customHeight="1" thickTop="1" x14ac:dyDescent="0.5">
      <c r="F35" s="65" t="s">
        <v>78</v>
      </c>
      <c r="N35" s="21"/>
      <c r="O35" s="22"/>
      <c r="P35" s="22"/>
      <c r="Q35" s="22"/>
      <c r="R35" s="22"/>
      <c r="S35" s="22"/>
      <c r="T35" s="127">
        <v>1</v>
      </c>
      <c r="U35" s="21"/>
      <c r="V35" s="22"/>
      <c r="W35" s="22"/>
      <c r="X35" s="22"/>
      <c r="Y35" s="22"/>
      <c r="Z35" s="22"/>
      <c r="AA35" s="127"/>
      <c r="AB35" s="21"/>
      <c r="AC35" s="22"/>
      <c r="AD35" s="22"/>
      <c r="AE35" s="22"/>
      <c r="AF35" s="22"/>
      <c r="AG35" s="22"/>
      <c r="AH35" s="7"/>
    </row>
    <row r="36" spans="6:34" x14ac:dyDescent="0.5">
      <c r="F36" s="65" t="s">
        <v>79</v>
      </c>
      <c r="N36" s="34"/>
      <c r="O36" s="35"/>
      <c r="P36" s="35"/>
      <c r="Q36" s="35"/>
      <c r="R36" s="35"/>
      <c r="S36" s="35"/>
      <c r="T36" s="36">
        <v>1</v>
      </c>
      <c r="U36" s="34"/>
      <c r="V36" s="35"/>
      <c r="W36" s="35"/>
      <c r="X36" s="35"/>
      <c r="Y36" s="35"/>
      <c r="Z36" s="35"/>
      <c r="AA36" s="36"/>
      <c r="AB36" s="34"/>
      <c r="AC36" s="35"/>
      <c r="AD36" s="35"/>
      <c r="AE36" s="35"/>
      <c r="AF36" s="35"/>
      <c r="AG36" s="35"/>
      <c r="AH36" s="37"/>
    </row>
    <row r="37" spans="6:34" ht="19.5" customHeight="1" x14ac:dyDescent="0.2">
      <c r="F37" s="38" t="s">
        <v>80</v>
      </c>
      <c r="N37" s="21"/>
      <c r="O37" s="22"/>
      <c r="P37" s="22"/>
      <c r="Q37" s="22"/>
      <c r="R37" s="22"/>
      <c r="S37" s="22"/>
      <c r="T37" s="127">
        <v>1</v>
      </c>
      <c r="U37" s="21"/>
      <c r="V37" s="22"/>
      <c r="W37" s="22"/>
      <c r="X37" s="22">
        <v>4</v>
      </c>
      <c r="Y37" s="22"/>
      <c r="Z37" s="22"/>
      <c r="AA37" s="127"/>
      <c r="AB37" s="21"/>
      <c r="AC37" s="22"/>
      <c r="AD37" s="22"/>
      <c r="AE37" s="22"/>
      <c r="AF37" s="22"/>
      <c r="AG37" s="22"/>
      <c r="AH37" s="7"/>
    </row>
    <row r="38" spans="6:34" x14ac:dyDescent="0.2">
      <c r="F38" s="128" t="s">
        <v>224</v>
      </c>
      <c r="N38" s="34"/>
      <c r="O38" s="35"/>
      <c r="P38" s="35"/>
      <c r="Q38" s="35"/>
      <c r="R38" s="35"/>
      <c r="S38" s="35"/>
      <c r="T38" s="36"/>
      <c r="U38" s="34"/>
      <c r="V38" s="35"/>
      <c r="W38" s="35"/>
      <c r="X38" s="35"/>
      <c r="Y38" s="35">
        <v>2</v>
      </c>
      <c r="Z38" s="35"/>
      <c r="AA38" s="36">
        <v>2</v>
      </c>
      <c r="AB38" s="34"/>
      <c r="AC38" s="35"/>
      <c r="AD38" s="35"/>
      <c r="AE38" s="35"/>
      <c r="AF38" s="35"/>
      <c r="AG38" s="35"/>
      <c r="AH38" s="37"/>
    </row>
    <row r="39" spans="6:34" x14ac:dyDescent="0.2">
      <c r="F39" s="64" t="s">
        <v>234</v>
      </c>
      <c r="N39" s="21"/>
      <c r="O39" s="22"/>
      <c r="P39" s="22"/>
      <c r="Q39" s="22"/>
      <c r="R39" s="22"/>
      <c r="S39" s="22"/>
      <c r="T39" s="127"/>
      <c r="U39" s="21"/>
      <c r="V39" s="22"/>
      <c r="W39" s="22"/>
      <c r="X39" s="22"/>
      <c r="Y39" s="22">
        <v>2</v>
      </c>
      <c r="Z39" s="22"/>
      <c r="AA39" s="127">
        <v>1</v>
      </c>
      <c r="AB39" s="21"/>
      <c r="AC39" s="22"/>
      <c r="AD39" s="22"/>
      <c r="AE39" s="22"/>
      <c r="AF39" s="22"/>
      <c r="AG39" s="22"/>
      <c r="AH39" s="7"/>
    </row>
    <row r="40" spans="6:34" x14ac:dyDescent="0.2">
      <c r="F40" s="64" t="s">
        <v>267</v>
      </c>
      <c r="N40" s="21"/>
      <c r="O40" s="22"/>
      <c r="P40" s="22"/>
      <c r="Q40" s="22"/>
      <c r="R40" s="22"/>
      <c r="S40" s="22"/>
      <c r="T40" s="127"/>
      <c r="U40" s="21"/>
      <c r="V40" s="22"/>
      <c r="W40" s="22"/>
      <c r="X40" s="22"/>
      <c r="Y40" s="22"/>
      <c r="Z40" s="22"/>
      <c r="AA40" s="127">
        <v>1</v>
      </c>
      <c r="AB40" s="21"/>
      <c r="AC40" s="22"/>
      <c r="AD40" s="22"/>
      <c r="AE40" s="22"/>
      <c r="AF40" s="22"/>
      <c r="AG40" s="22"/>
      <c r="AH40" s="7"/>
    </row>
    <row r="41" spans="6:34" x14ac:dyDescent="0.2">
      <c r="F41" s="98" t="s">
        <v>268</v>
      </c>
      <c r="N41" s="21"/>
      <c r="O41" s="22"/>
      <c r="P41" s="22"/>
      <c r="Q41" s="22"/>
      <c r="R41" s="22"/>
      <c r="S41" s="22"/>
      <c r="T41" s="127"/>
      <c r="U41" s="21"/>
      <c r="V41" s="22"/>
      <c r="W41" s="22"/>
      <c r="X41" s="22"/>
      <c r="Y41" s="22"/>
      <c r="Z41" s="22"/>
      <c r="AA41" s="127">
        <v>1</v>
      </c>
      <c r="AB41" s="21"/>
      <c r="AC41" s="22"/>
      <c r="AD41" s="22"/>
      <c r="AE41" s="22"/>
      <c r="AF41" s="22"/>
      <c r="AG41" s="22"/>
      <c r="AH41" s="7"/>
    </row>
    <row r="42" spans="6:34" x14ac:dyDescent="0.2">
      <c r="F42" s="64" t="s">
        <v>269</v>
      </c>
      <c r="N42" s="21"/>
      <c r="O42" s="22"/>
      <c r="P42" s="22"/>
      <c r="Q42" s="22"/>
      <c r="R42" s="22"/>
      <c r="S42" s="22"/>
      <c r="T42" s="127"/>
      <c r="U42" s="21"/>
      <c r="V42" s="22"/>
      <c r="W42" s="22"/>
      <c r="X42" s="22"/>
      <c r="Y42" s="22"/>
      <c r="Z42" s="22"/>
      <c r="AA42" s="127">
        <v>1</v>
      </c>
      <c r="AB42" s="21"/>
      <c r="AC42" s="22"/>
      <c r="AD42" s="22"/>
      <c r="AE42" s="22"/>
      <c r="AF42" s="22"/>
      <c r="AG42" s="22"/>
      <c r="AH42" s="7"/>
    </row>
    <row r="43" spans="6:34" ht="22.5" thickBot="1" x14ac:dyDescent="0.55000000000000004">
      <c r="F43" s="97" t="s">
        <v>270</v>
      </c>
      <c r="N43" s="26"/>
      <c r="O43" s="27"/>
      <c r="P43" s="27"/>
      <c r="Q43" s="27"/>
      <c r="R43" s="27"/>
      <c r="S43" s="27"/>
      <c r="T43" s="3"/>
      <c r="U43" s="26"/>
      <c r="V43" s="27"/>
      <c r="W43" s="27"/>
      <c r="X43" s="27"/>
      <c r="Y43" s="27"/>
      <c r="Z43" s="27"/>
      <c r="AA43" s="3">
        <v>2</v>
      </c>
      <c r="AB43" s="26"/>
      <c r="AC43" s="27"/>
      <c r="AD43" s="27"/>
      <c r="AE43" s="27"/>
      <c r="AF43" s="27"/>
      <c r="AG43" s="27"/>
      <c r="AH43" s="28"/>
    </row>
    <row r="44" spans="6:34" ht="22.5" thickTop="1" x14ac:dyDescent="0.2">
      <c r="F44" s="64" t="s">
        <v>271</v>
      </c>
      <c r="N44" s="21"/>
      <c r="O44" s="22"/>
      <c r="P44" s="22"/>
      <c r="Q44" s="22"/>
      <c r="R44" s="22"/>
      <c r="S44" s="22"/>
      <c r="T44" s="127"/>
      <c r="U44" s="21"/>
      <c r="V44" s="22"/>
      <c r="W44" s="22"/>
      <c r="X44" s="22"/>
      <c r="Y44" s="22"/>
      <c r="Z44" s="22"/>
      <c r="AA44" s="127">
        <v>1</v>
      </c>
      <c r="AB44" s="21"/>
      <c r="AC44" s="22"/>
      <c r="AD44" s="22"/>
      <c r="AE44" s="22"/>
      <c r="AF44" s="22"/>
      <c r="AG44" s="22"/>
      <c r="AH44" s="7"/>
    </row>
    <row r="45" spans="6:34" x14ac:dyDescent="0.2">
      <c r="F45" s="64" t="s">
        <v>272</v>
      </c>
      <c r="N45" s="34"/>
      <c r="O45" s="35"/>
      <c r="P45" s="35"/>
      <c r="Q45" s="35"/>
      <c r="R45" s="35"/>
      <c r="S45" s="35"/>
      <c r="T45" s="36"/>
      <c r="U45" s="34"/>
      <c r="V45" s="35"/>
      <c r="W45" s="35"/>
      <c r="X45" s="35"/>
      <c r="Y45" s="35"/>
      <c r="Z45" s="35"/>
      <c r="AA45" s="36">
        <v>1</v>
      </c>
      <c r="AB45" s="34"/>
      <c r="AC45" s="35"/>
      <c r="AD45" s="35"/>
      <c r="AE45" s="35"/>
      <c r="AF45" s="35"/>
      <c r="AG45" s="35"/>
      <c r="AH45" s="37"/>
    </row>
    <row r="46" spans="6:34" x14ac:dyDescent="0.2">
      <c r="F46" s="98" t="s">
        <v>273</v>
      </c>
      <c r="N46" s="21"/>
      <c r="O46" s="22"/>
      <c r="P46" s="22"/>
      <c r="Q46" s="22"/>
      <c r="R46" s="22"/>
      <c r="S46" s="22"/>
      <c r="T46" s="127"/>
      <c r="U46" s="21"/>
      <c r="V46" s="22"/>
      <c r="W46" s="22"/>
      <c r="X46" s="22"/>
      <c r="Y46" s="22"/>
      <c r="Z46" s="22"/>
      <c r="AA46" s="127">
        <v>1</v>
      </c>
      <c r="AB46" s="21"/>
      <c r="AC46" s="22"/>
      <c r="AD46" s="22"/>
      <c r="AE46" s="22"/>
      <c r="AF46" s="22"/>
      <c r="AG46" s="22"/>
      <c r="AH46" s="7"/>
    </row>
    <row r="47" spans="6:34" x14ac:dyDescent="0.2">
      <c r="F47" s="64" t="s">
        <v>274</v>
      </c>
      <c r="N47" s="21"/>
      <c r="O47" s="22"/>
      <c r="P47" s="22"/>
      <c r="Q47" s="22"/>
      <c r="R47" s="22"/>
      <c r="S47" s="22"/>
      <c r="T47" s="127"/>
      <c r="U47" s="21"/>
      <c r="V47" s="22"/>
      <c r="W47" s="22"/>
      <c r="X47" s="22"/>
      <c r="Y47" s="22"/>
      <c r="Z47" s="22"/>
      <c r="AA47" s="127">
        <v>1</v>
      </c>
      <c r="AB47" s="21"/>
      <c r="AC47" s="22"/>
      <c r="AD47" s="22"/>
      <c r="AE47" s="22"/>
      <c r="AF47" s="22"/>
      <c r="AG47" s="22"/>
      <c r="AH47" s="7"/>
    </row>
    <row r="48" spans="6:34" ht="22.5" thickBot="1" x14ac:dyDescent="0.55000000000000004">
      <c r="F48" s="97" t="s">
        <v>276</v>
      </c>
      <c r="N48" s="26"/>
      <c r="O48" s="27"/>
      <c r="P48" s="27"/>
      <c r="Q48" s="27"/>
      <c r="R48" s="27"/>
      <c r="S48" s="27"/>
      <c r="T48" s="3"/>
      <c r="U48" s="26"/>
      <c r="V48" s="27"/>
      <c r="W48" s="27"/>
      <c r="X48" s="27"/>
      <c r="Y48" s="27"/>
      <c r="Z48" s="27"/>
      <c r="AA48" s="3">
        <v>2</v>
      </c>
      <c r="AB48" s="26"/>
      <c r="AC48" s="27"/>
      <c r="AD48" s="27"/>
      <c r="AE48" s="27"/>
      <c r="AF48" s="27"/>
      <c r="AG48" s="27"/>
      <c r="AH48" s="28"/>
    </row>
    <row r="49" spans="6:34" ht="22.5" thickTop="1" x14ac:dyDescent="0.2">
      <c r="F49" s="64" t="s">
        <v>53</v>
      </c>
      <c r="N49" s="21"/>
      <c r="O49" s="22"/>
      <c r="P49" s="22"/>
      <c r="Q49" s="22"/>
      <c r="R49" s="22"/>
      <c r="S49" s="22"/>
      <c r="T49" s="127"/>
      <c r="U49" s="21"/>
      <c r="V49" s="22"/>
      <c r="W49" s="22"/>
      <c r="X49" s="22"/>
      <c r="Y49" s="22"/>
      <c r="Z49" s="22"/>
      <c r="AA49" s="127">
        <v>2</v>
      </c>
      <c r="AB49" s="21"/>
      <c r="AC49" s="22"/>
      <c r="AD49" s="22"/>
      <c r="AE49" s="22"/>
      <c r="AF49" s="22"/>
      <c r="AG49" s="22"/>
      <c r="AH49" s="7"/>
    </row>
    <row r="50" spans="6:34" x14ac:dyDescent="0.2">
      <c r="F50" s="64" t="s">
        <v>277</v>
      </c>
      <c r="N50" s="34"/>
      <c r="O50" s="35"/>
      <c r="P50" s="35"/>
      <c r="Q50" s="35"/>
      <c r="R50" s="35"/>
      <c r="S50" s="35"/>
      <c r="T50" s="36"/>
      <c r="U50" s="34"/>
      <c r="V50" s="35"/>
      <c r="W50" s="35"/>
      <c r="X50" s="35"/>
      <c r="Y50" s="35"/>
      <c r="Z50" s="35"/>
      <c r="AA50" s="36">
        <v>1</v>
      </c>
      <c r="AB50" s="34"/>
      <c r="AC50" s="35"/>
      <c r="AD50" s="35"/>
      <c r="AE50" s="35"/>
      <c r="AF50" s="35"/>
      <c r="AG50" s="35"/>
      <c r="AH50" s="37"/>
    </row>
    <row r="51" spans="6:34" x14ac:dyDescent="0.2">
      <c r="F51" s="98" t="s">
        <v>278</v>
      </c>
      <c r="N51" s="21"/>
      <c r="O51" s="22"/>
      <c r="P51" s="22"/>
      <c r="Q51" s="22"/>
      <c r="R51" s="22"/>
      <c r="S51" s="22"/>
      <c r="T51" s="127"/>
      <c r="U51" s="21"/>
      <c r="V51" s="22"/>
      <c r="W51" s="22"/>
      <c r="X51" s="22"/>
      <c r="Y51" s="22"/>
      <c r="Z51" s="22"/>
      <c r="AA51" s="127">
        <v>1</v>
      </c>
      <c r="AB51" s="21"/>
      <c r="AC51" s="22"/>
      <c r="AD51" s="22"/>
      <c r="AE51" s="22"/>
      <c r="AF51" s="22"/>
      <c r="AG51" s="22"/>
      <c r="AH51" s="7"/>
    </row>
    <row r="52" spans="6:34" x14ac:dyDescent="0.2">
      <c r="F52" s="64" t="s">
        <v>279</v>
      </c>
      <c r="N52" s="21"/>
      <c r="O52" s="22"/>
      <c r="P52" s="22"/>
      <c r="Q52" s="22"/>
      <c r="R52" s="22"/>
      <c r="S52" s="22"/>
      <c r="T52" s="127"/>
      <c r="U52" s="21"/>
      <c r="V52" s="22"/>
      <c r="W52" s="22"/>
      <c r="X52" s="22"/>
      <c r="Y52" s="22"/>
      <c r="Z52" s="22"/>
      <c r="AA52" s="127">
        <v>1</v>
      </c>
      <c r="AB52" s="21"/>
      <c r="AC52" s="22"/>
      <c r="AD52" s="22"/>
      <c r="AE52" s="22"/>
      <c r="AF52" s="22"/>
      <c r="AG52" s="22"/>
      <c r="AH52" s="7"/>
    </row>
    <row r="53" spans="6:34" ht="22.5" thickBot="1" x14ac:dyDescent="0.55000000000000004">
      <c r="F53" s="97" t="s">
        <v>280</v>
      </c>
      <c r="N53" s="26"/>
      <c r="O53" s="27"/>
      <c r="P53" s="27"/>
      <c r="Q53" s="27"/>
      <c r="R53" s="27"/>
      <c r="S53" s="27"/>
      <c r="T53" s="3"/>
      <c r="U53" s="26"/>
      <c r="V53" s="27"/>
      <c r="W53" s="27"/>
      <c r="X53" s="27"/>
      <c r="Y53" s="27"/>
      <c r="Z53" s="27"/>
      <c r="AA53" s="3">
        <v>2</v>
      </c>
      <c r="AB53" s="26"/>
      <c r="AC53" s="27"/>
      <c r="AD53" s="27"/>
      <c r="AE53" s="27"/>
      <c r="AF53" s="27"/>
      <c r="AG53" s="27"/>
      <c r="AH53" s="28"/>
    </row>
    <row r="54" spans="6:34" ht="23.25" thickTop="1" thickBot="1" x14ac:dyDescent="0.55000000000000004">
      <c r="F54" s="97" t="s">
        <v>299</v>
      </c>
      <c r="N54" s="26"/>
      <c r="O54" s="27"/>
      <c r="P54" s="27"/>
      <c r="Q54" s="27"/>
      <c r="R54" s="27"/>
      <c r="S54" s="27"/>
      <c r="T54" s="3"/>
      <c r="U54" s="26"/>
      <c r="V54" s="27"/>
      <c r="W54" s="27"/>
      <c r="X54" s="27"/>
      <c r="Y54" s="27"/>
      <c r="Z54" s="27"/>
      <c r="AA54" s="3"/>
      <c r="AB54" s="26"/>
      <c r="AC54" s="27"/>
      <c r="AD54" s="27"/>
      <c r="AE54" s="27"/>
      <c r="AF54" s="27"/>
      <c r="AG54" s="27"/>
      <c r="AH54" s="3">
        <v>1</v>
      </c>
    </row>
    <row r="55" spans="6:34" ht="22.5" thickTop="1" x14ac:dyDescent="0.2">
      <c r="F55" s="1"/>
      <c r="N55" s="127"/>
      <c r="O55" s="22"/>
      <c r="P55" s="22"/>
      <c r="Q55" s="22"/>
      <c r="R55" s="22"/>
      <c r="S55" s="22"/>
      <c r="T55" s="127"/>
      <c r="U55" s="127"/>
      <c r="V55" s="22"/>
      <c r="W55" s="22"/>
      <c r="X55" s="22"/>
      <c r="Y55" s="22"/>
      <c r="Z55" s="22"/>
      <c r="AA55" s="127"/>
      <c r="AB55" s="127"/>
      <c r="AC55" s="22"/>
      <c r="AD55" s="22"/>
      <c r="AE55" s="22"/>
      <c r="AF55" s="22"/>
      <c r="AG55" s="22"/>
      <c r="AH55" s="127"/>
    </row>
    <row r="56" spans="6:34" x14ac:dyDescent="0.2">
      <c r="F56" s="1"/>
      <c r="N56" s="127"/>
      <c r="O56" s="22"/>
      <c r="P56" s="22"/>
      <c r="Q56" s="22"/>
      <c r="R56" s="22"/>
      <c r="S56" s="22"/>
      <c r="T56" s="127"/>
      <c r="U56" s="127"/>
      <c r="V56" s="22"/>
      <c r="W56" s="22"/>
      <c r="X56" s="22"/>
      <c r="Y56" s="22"/>
      <c r="Z56" s="22"/>
      <c r="AA56" s="127"/>
      <c r="AB56" s="127"/>
      <c r="AC56" s="22"/>
      <c r="AD56" s="22"/>
      <c r="AE56" s="22"/>
      <c r="AF56" s="22"/>
      <c r="AG56" s="22"/>
      <c r="AH56" s="127"/>
    </row>
    <row r="57" spans="6:34" x14ac:dyDescent="0.2">
      <c r="F57" s="1"/>
      <c r="N57" s="127"/>
      <c r="O57" s="22"/>
      <c r="P57" s="22"/>
      <c r="Q57" s="22"/>
      <c r="R57" s="22"/>
      <c r="S57" s="22"/>
      <c r="T57" s="127"/>
      <c r="U57" s="127"/>
      <c r="V57" s="22"/>
      <c r="W57" s="22"/>
      <c r="X57" s="22"/>
      <c r="Y57" s="22"/>
      <c r="Z57" s="22"/>
      <c r="AA57" s="127"/>
      <c r="AB57" s="127"/>
      <c r="AC57" s="22"/>
      <c r="AD57" s="22"/>
      <c r="AE57" s="22"/>
      <c r="AF57" s="22"/>
      <c r="AG57" s="22"/>
      <c r="AH57" s="127"/>
    </row>
    <row r="58" spans="6:34" x14ac:dyDescent="0.2">
      <c r="F58" s="1"/>
      <c r="N58" s="127"/>
      <c r="O58" s="22"/>
      <c r="P58" s="22"/>
      <c r="Q58" s="22"/>
      <c r="R58" s="22"/>
      <c r="S58" s="22"/>
      <c r="T58" s="127"/>
      <c r="U58" s="127"/>
      <c r="V58" s="22"/>
      <c r="W58" s="22"/>
      <c r="X58" s="22"/>
      <c r="Y58" s="22"/>
      <c r="Z58" s="22"/>
      <c r="AA58" s="127"/>
      <c r="AB58" s="127"/>
      <c r="AC58" s="22"/>
      <c r="AD58" s="22"/>
      <c r="AE58" s="22"/>
      <c r="AF58" s="22"/>
      <c r="AG58" s="22"/>
      <c r="AH58" s="127"/>
    </row>
    <row r="59" spans="6:34" x14ac:dyDescent="0.2">
      <c r="F59" s="1"/>
      <c r="N59" s="127"/>
      <c r="O59" s="22"/>
      <c r="P59" s="22"/>
      <c r="Q59" s="22"/>
      <c r="R59" s="22"/>
      <c r="S59" s="22"/>
      <c r="T59" s="127"/>
      <c r="U59" s="127"/>
      <c r="V59" s="22"/>
      <c r="W59" s="22"/>
      <c r="X59" s="22"/>
      <c r="Y59" s="22"/>
      <c r="Z59" s="22"/>
      <c r="AA59" s="127"/>
      <c r="AB59" s="127"/>
      <c r="AC59" s="22"/>
      <c r="AD59" s="22"/>
      <c r="AE59" s="22"/>
      <c r="AF59" s="22"/>
      <c r="AG59" s="22"/>
      <c r="AH59" s="127"/>
    </row>
    <row r="60" spans="6:34" x14ac:dyDescent="0.2">
      <c r="F60" s="1"/>
      <c r="N60" s="127"/>
      <c r="O60" s="22"/>
      <c r="P60" s="22"/>
      <c r="Q60" s="22"/>
      <c r="R60" s="22"/>
      <c r="S60" s="22"/>
      <c r="T60" s="127"/>
      <c r="U60" s="127"/>
      <c r="V60" s="22"/>
      <c r="W60" s="22"/>
      <c r="X60" s="22"/>
      <c r="Y60" s="22"/>
      <c r="Z60" s="22"/>
      <c r="AA60" s="127"/>
      <c r="AB60" s="127"/>
      <c r="AC60" s="22"/>
      <c r="AD60" s="22"/>
      <c r="AE60" s="22"/>
      <c r="AF60" s="22"/>
      <c r="AG60" s="22"/>
      <c r="AH60" s="127"/>
    </row>
    <row r="61" spans="6:34" x14ac:dyDescent="0.2">
      <c r="F61" s="1"/>
      <c r="N61" s="127"/>
      <c r="O61" s="22"/>
      <c r="P61" s="22"/>
      <c r="Q61" s="22"/>
      <c r="R61" s="22"/>
      <c r="S61" s="22"/>
      <c r="T61" s="127"/>
      <c r="U61" s="127"/>
      <c r="V61" s="22"/>
      <c r="W61" s="22"/>
      <c r="X61" s="22"/>
      <c r="Y61" s="22"/>
      <c r="Z61" s="22"/>
      <c r="AA61" s="127"/>
      <c r="AB61" s="127"/>
      <c r="AC61" s="22"/>
      <c r="AD61" s="22"/>
      <c r="AE61" s="22"/>
      <c r="AF61" s="22"/>
      <c r="AG61" s="22"/>
      <c r="AH61" s="127"/>
    </row>
    <row r="62" spans="6:34" x14ac:dyDescent="0.2">
      <c r="F62" s="1"/>
      <c r="N62" s="127"/>
      <c r="O62" s="22"/>
      <c r="P62" s="22"/>
      <c r="Q62" s="22"/>
      <c r="R62" s="22"/>
      <c r="S62" s="22"/>
      <c r="T62" s="127"/>
      <c r="U62" s="127"/>
      <c r="V62" s="22"/>
      <c r="W62" s="22"/>
      <c r="X62" s="22"/>
      <c r="Y62" s="22"/>
      <c r="Z62" s="22"/>
      <c r="AA62" s="127"/>
      <c r="AB62" s="127"/>
      <c r="AC62" s="22"/>
      <c r="AD62" s="22"/>
      <c r="AE62" s="22"/>
      <c r="AF62" s="22"/>
      <c r="AG62" s="22"/>
      <c r="AH62" s="127"/>
    </row>
    <row r="63" spans="6:34" x14ac:dyDescent="0.2">
      <c r="F63" s="1"/>
      <c r="N63" s="127"/>
      <c r="O63" s="22"/>
      <c r="P63" s="22"/>
      <c r="Q63" s="22"/>
      <c r="R63" s="22"/>
      <c r="S63" s="22"/>
      <c r="T63" s="127"/>
      <c r="U63" s="127"/>
      <c r="V63" s="22"/>
      <c r="W63" s="22"/>
      <c r="X63" s="22"/>
      <c r="Y63" s="22"/>
      <c r="Z63" s="22"/>
      <c r="AA63" s="127"/>
      <c r="AB63" s="127"/>
      <c r="AC63" s="22"/>
      <c r="AD63" s="22"/>
      <c r="AE63" s="22"/>
      <c r="AF63" s="22"/>
      <c r="AG63" s="22"/>
      <c r="AH63" s="127"/>
    </row>
    <row r="64" spans="6:34" x14ac:dyDescent="0.2">
      <c r="F64" s="1"/>
      <c r="N64" s="127"/>
      <c r="O64" s="22"/>
      <c r="P64" s="22"/>
      <c r="Q64" s="22"/>
      <c r="R64" s="22"/>
      <c r="S64" s="22"/>
      <c r="T64" s="127"/>
      <c r="U64" s="127"/>
      <c r="V64" s="22"/>
      <c r="W64" s="22"/>
      <c r="X64" s="22"/>
      <c r="Y64" s="22"/>
      <c r="Z64" s="22"/>
      <c r="AA64" s="127"/>
      <c r="AB64" s="127"/>
      <c r="AC64" s="22"/>
      <c r="AD64" s="22"/>
      <c r="AE64" s="22"/>
      <c r="AF64" s="22"/>
      <c r="AG64" s="22"/>
      <c r="AH64" s="127"/>
    </row>
    <row r="65" spans="6:34" x14ac:dyDescent="0.2">
      <c r="F65" s="1"/>
      <c r="N65" s="127"/>
      <c r="O65" s="22"/>
      <c r="P65" s="22"/>
      <c r="Q65" s="22"/>
      <c r="R65" s="22"/>
      <c r="S65" s="22"/>
      <c r="T65" s="127"/>
      <c r="U65" s="127"/>
      <c r="V65" s="22"/>
      <c r="W65" s="22"/>
      <c r="X65" s="22"/>
      <c r="Y65" s="22"/>
      <c r="Z65" s="22"/>
      <c r="AA65" s="127"/>
      <c r="AB65" s="127"/>
      <c r="AC65" s="22"/>
      <c r="AD65" s="22"/>
      <c r="AE65" s="22"/>
      <c r="AF65" s="22"/>
      <c r="AG65" s="22"/>
      <c r="AH65" s="127"/>
    </row>
    <row r="66" spans="6:34" x14ac:dyDescent="0.2">
      <c r="F66" s="1"/>
      <c r="N66" s="127"/>
      <c r="O66" s="22"/>
      <c r="P66" s="22"/>
      <c r="Q66" s="22"/>
      <c r="R66" s="22"/>
      <c r="S66" s="22"/>
      <c r="T66" s="127"/>
      <c r="U66" s="127"/>
      <c r="V66" s="22"/>
      <c r="W66" s="22"/>
      <c r="X66" s="22"/>
      <c r="Y66" s="22"/>
      <c r="Z66" s="22"/>
      <c r="AA66" s="127"/>
      <c r="AB66" s="127"/>
      <c r="AC66" s="22"/>
      <c r="AD66" s="22"/>
      <c r="AE66" s="22"/>
      <c r="AF66" s="22"/>
      <c r="AG66" s="22"/>
      <c r="AH66" s="127"/>
    </row>
    <row r="67" spans="6:34" x14ac:dyDescent="0.2">
      <c r="F67" s="1"/>
      <c r="N67" s="127"/>
      <c r="O67" s="22"/>
      <c r="P67" s="22"/>
      <c r="Q67" s="22"/>
      <c r="R67" s="22"/>
      <c r="S67" s="22"/>
      <c r="T67" s="127"/>
      <c r="U67" s="127"/>
      <c r="V67" s="22"/>
      <c r="W67" s="22"/>
      <c r="X67" s="22"/>
      <c r="Y67" s="22"/>
      <c r="Z67" s="22"/>
      <c r="AA67" s="127"/>
      <c r="AB67" s="127"/>
      <c r="AC67" s="22"/>
      <c r="AD67" s="22"/>
      <c r="AE67" s="22"/>
      <c r="AF67" s="22"/>
      <c r="AG67" s="22"/>
      <c r="AH67" s="127"/>
    </row>
    <row r="68" spans="6:34" x14ac:dyDescent="0.2">
      <c r="F68" s="1"/>
      <c r="N68" s="127"/>
      <c r="O68" s="22"/>
      <c r="P68" s="22"/>
      <c r="Q68" s="22"/>
      <c r="R68" s="22"/>
      <c r="S68" s="22"/>
      <c r="T68" s="127"/>
      <c r="U68" s="127"/>
      <c r="V68" s="22"/>
      <c r="W68" s="22"/>
      <c r="X68" s="22"/>
      <c r="Y68" s="22"/>
      <c r="Z68" s="22"/>
      <c r="AA68" s="127"/>
      <c r="AB68" s="127"/>
      <c r="AC68" s="22"/>
      <c r="AD68" s="22"/>
      <c r="AE68" s="22"/>
      <c r="AF68" s="22"/>
      <c r="AG68" s="22"/>
      <c r="AH68" s="127"/>
    </row>
    <row r="69" spans="6:34" x14ac:dyDescent="0.2">
      <c r="F69" s="1"/>
      <c r="N69" s="127"/>
      <c r="O69" s="22"/>
      <c r="P69" s="22"/>
      <c r="Q69" s="22"/>
      <c r="R69" s="22"/>
      <c r="S69" s="22"/>
      <c r="T69" s="127"/>
      <c r="U69" s="127"/>
      <c r="V69" s="22"/>
      <c r="W69" s="22"/>
      <c r="X69" s="22"/>
      <c r="Y69" s="22"/>
      <c r="Z69" s="22"/>
      <c r="AA69" s="127"/>
      <c r="AB69" s="127"/>
      <c r="AC69" s="22"/>
      <c r="AD69" s="22"/>
      <c r="AE69" s="22"/>
      <c r="AF69" s="22"/>
      <c r="AG69" s="22"/>
      <c r="AH69" s="127"/>
    </row>
    <row r="70" spans="6:34" x14ac:dyDescent="0.2">
      <c r="F70" s="1"/>
      <c r="N70" s="127"/>
      <c r="O70" s="22"/>
      <c r="P70" s="22"/>
      <c r="Q70" s="22"/>
      <c r="R70" s="22"/>
      <c r="S70" s="22"/>
      <c r="T70" s="127"/>
      <c r="U70" s="127"/>
      <c r="V70" s="22"/>
      <c r="W70" s="22"/>
      <c r="X70" s="22"/>
      <c r="Y70" s="22"/>
      <c r="Z70" s="22"/>
      <c r="AA70" s="127"/>
      <c r="AB70" s="127"/>
      <c r="AC70" s="22"/>
      <c r="AD70" s="22"/>
      <c r="AE70" s="22"/>
      <c r="AF70" s="22"/>
      <c r="AG70" s="22"/>
      <c r="AH70" s="127"/>
    </row>
    <row r="71" spans="6:34" x14ac:dyDescent="0.2">
      <c r="F71" s="1"/>
      <c r="N71" s="127"/>
      <c r="O71" s="22"/>
      <c r="P71" s="22"/>
      <c r="Q71" s="22"/>
      <c r="R71" s="22"/>
      <c r="S71" s="22"/>
      <c r="T71" s="127"/>
      <c r="U71" s="127"/>
      <c r="V71" s="22"/>
      <c r="W71" s="22"/>
      <c r="X71" s="22"/>
      <c r="Y71" s="22"/>
      <c r="Z71" s="22"/>
      <c r="AA71" s="127"/>
      <c r="AB71" s="127"/>
      <c r="AC71" s="22"/>
      <c r="AD71" s="22"/>
      <c r="AE71" s="22"/>
      <c r="AF71" s="22"/>
      <c r="AG71" s="22"/>
      <c r="AH71" s="127"/>
    </row>
    <row r="72" spans="6:34" x14ac:dyDescent="0.2">
      <c r="F72" s="1"/>
      <c r="N72" s="127"/>
      <c r="O72" s="22"/>
      <c r="P72" s="22"/>
      <c r="Q72" s="22"/>
      <c r="R72" s="22"/>
      <c r="S72" s="22"/>
      <c r="T72" s="127"/>
      <c r="U72" s="127"/>
      <c r="V72" s="22"/>
      <c r="W72" s="22"/>
      <c r="X72" s="22"/>
      <c r="Y72" s="22"/>
      <c r="Z72" s="22"/>
      <c r="AA72" s="127"/>
      <c r="AB72" s="127"/>
      <c r="AC72" s="22"/>
      <c r="AD72" s="22"/>
      <c r="AE72" s="22"/>
      <c r="AF72" s="22"/>
      <c r="AG72" s="22"/>
      <c r="AH72" s="127"/>
    </row>
    <row r="73" spans="6:34" x14ac:dyDescent="0.2">
      <c r="F73" s="1"/>
      <c r="N73" s="127"/>
      <c r="O73" s="22"/>
      <c r="P73" s="22"/>
      <c r="Q73" s="22"/>
      <c r="R73" s="22"/>
      <c r="S73" s="22"/>
      <c r="T73" s="127"/>
      <c r="U73" s="127"/>
      <c r="V73" s="22"/>
      <c r="W73" s="22"/>
      <c r="X73" s="22"/>
      <c r="Y73" s="22"/>
      <c r="Z73" s="22"/>
      <c r="AA73" s="127"/>
      <c r="AB73" s="127"/>
      <c r="AC73" s="22"/>
      <c r="AD73" s="22"/>
      <c r="AE73" s="22"/>
      <c r="AF73" s="22"/>
      <c r="AG73" s="22"/>
      <c r="AH73" s="127"/>
    </row>
    <row r="74" spans="6:34" x14ac:dyDescent="0.2">
      <c r="F74" s="1"/>
      <c r="N74" s="127"/>
      <c r="O74" s="22"/>
      <c r="P74" s="22"/>
      <c r="Q74" s="22"/>
      <c r="R74" s="22"/>
      <c r="S74" s="22"/>
      <c r="T74" s="127"/>
      <c r="U74" s="127"/>
      <c r="V74" s="22"/>
      <c r="W74" s="22"/>
      <c r="X74" s="22"/>
      <c r="Y74" s="22"/>
      <c r="Z74" s="22"/>
      <c r="AA74" s="127"/>
      <c r="AB74" s="127"/>
      <c r="AC74" s="22"/>
      <c r="AD74" s="22"/>
      <c r="AE74" s="22"/>
      <c r="AF74" s="22"/>
      <c r="AG74" s="22"/>
      <c r="AH74" s="127"/>
    </row>
    <row r="75" spans="6:34" x14ac:dyDescent="0.2">
      <c r="F75" s="1"/>
      <c r="N75" s="127"/>
      <c r="O75" s="22"/>
      <c r="P75" s="22"/>
      <c r="Q75" s="22"/>
      <c r="R75" s="22"/>
      <c r="S75" s="22"/>
      <c r="T75" s="127"/>
      <c r="U75" s="127"/>
      <c r="V75" s="22"/>
      <c r="W75" s="22"/>
      <c r="X75" s="22"/>
      <c r="Y75" s="22"/>
      <c r="Z75" s="22"/>
      <c r="AA75" s="127"/>
      <c r="AB75" s="127"/>
      <c r="AC75" s="22"/>
      <c r="AD75" s="22"/>
      <c r="AE75" s="22"/>
      <c r="AF75" s="22"/>
      <c r="AG75" s="22"/>
      <c r="AH75" s="127"/>
    </row>
    <row r="76" spans="6:34" x14ac:dyDescent="0.2">
      <c r="F76" s="1"/>
      <c r="N76" s="127"/>
      <c r="O76" s="22"/>
      <c r="P76" s="22"/>
      <c r="Q76" s="22"/>
      <c r="R76" s="22"/>
      <c r="S76" s="22"/>
      <c r="T76" s="127"/>
      <c r="U76" s="127"/>
      <c r="V76" s="22"/>
      <c r="W76" s="22"/>
      <c r="X76" s="22"/>
      <c r="Y76" s="22"/>
      <c r="Z76" s="22"/>
      <c r="AA76" s="127"/>
      <c r="AB76" s="127"/>
      <c r="AC76" s="22"/>
      <c r="AD76" s="22"/>
      <c r="AE76" s="22"/>
      <c r="AF76" s="22"/>
      <c r="AG76" s="22"/>
      <c r="AH76" s="127"/>
    </row>
    <row r="77" spans="6:34" x14ac:dyDescent="0.2">
      <c r="F77" s="1"/>
      <c r="N77" s="127"/>
      <c r="O77" s="22"/>
      <c r="P77" s="22"/>
      <c r="Q77" s="22"/>
      <c r="R77" s="22"/>
      <c r="S77" s="22"/>
      <c r="T77" s="127"/>
      <c r="U77" s="127"/>
      <c r="V77" s="22"/>
      <c r="W77" s="22"/>
      <c r="X77" s="22"/>
      <c r="Y77" s="22"/>
      <c r="Z77" s="22"/>
      <c r="AA77" s="127"/>
      <c r="AB77" s="127"/>
      <c r="AC77" s="22"/>
      <c r="AD77" s="22"/>
      <c r="AE77" s="22"/>
      <c r="AF77" s="22"/>
      <c r="AG77" s="22"/>
      <c r="AH77" s="127"/>
    </row>
    <row r="78" spans="6:34" x14ac:dyDescent="0.2">
      <c r="F78" s="1"/>
      <c r="N78" s="127"/>
      <c r="O78" s="22"/>
      <c r="P78" s="22"/>
      <c r="Q78" s="22"/>
      <c r="R78" s="22"/>
      <c r="S78" s="22"/>
      <c r="T78" s="127"/>
      <c r="U78" s="127"/>
      <c r="V78" s="22"/>
      <c r="W78" s="22"/>
      <c r="X78" s="22"/>
      <c r="Y78" s="22"/>
      <c r="Z78" s="22"/>
      <c r="AA78" s="127"/>
      <c r="AB78" s="127"/>
      <c r="AC78" s="22"/>
      <c r="AD78" s="22"/>
      <c r="AE78" s="22"/>
      <c r="AF78" s="22"/>
      <c r="AG78" s="22"/>
      <c r="AH78" s="127"/>
    </row>
    <row r="79" spans="6:34" x14ac:dyDescent="0.2">
      <c r="F79" s="1"/>
      <c r="N79" s="127"/>
      <c r="O79" s="22"/>
      <c r="P79" s="22"/>
      <c r="Q79" s="22"/>
      <c r="R79" s="22"/>
      <c r="S79" s="22"/>
      <c r="T79" s="127"/>
      <c r="U79" s="127"/>
      <c r="V79" s="22"/>
      <c r="W79" s="22"/>
      <c r="X79" s="22"/>
      <c r="Y79" s="22"/>
      <c r="Z79" s="22"/>
      <c r="AA79" s="127"/>
      <c r="AB79" s="127"/>
      <c r="AC79" s="22"/>
      <c r="AD79" s="22"/>
      <c r="AE79" s="22"/>
      <c r="AF79" s="22"/>
      <c r="AG79" s="22"/>
      <c r="AH79" s="127"/>
    </row>
    <row r="80" spans="6:34" x14ac:dyDescent="0.2">
      <c r="F80" s="1"/>
      <c r="N80" s="127"/>
      <c r="O80" s="22"/>
      <c r="P80" s="22"/>
      <c r="Q80" s="22"/>
      <c r="R80" s="22"/>
      <c r="S80" s="22"/>
      <c r="T80" s="127"/>
      <c r="U80" s="127"/>
      <c r="V80" s="22"/>
      <c r="W80" s="22"/>
      <c r="X80" s="22"/>
      <c r="Y80" s="22"/>
      <c r="Z80" s="22"/>
      <c r="AA80" s="127"/>
      <c r="AB80" s="127"/>
      <c r="AC80" s="22"/>
      <c r="AD80" s="22"/>
      <c r="AE80" s="22"/>
      <c r="AF80" s="22"/>
      <c r="AG80" s="22"/>
      <c r="AH80" s="127"/>
    </row>
    <row r="81" spans="6:34" x14ac:dyDescent="0.2">
      <c r="F81" s="1"/>
      <c r="N81" s="127"/>
      <c r="O81" s="22"/>
      <c r="P81" s="22"/>
      <c r="Q81" s="22"/>
      <c r="R81" s="22"/>
      <c r="S81" s="22"/>
      <c r="T81" s="127"/>
      <c r="U81" s="127"/>
      <c r="V81" s="22"/>
      <c r="W81" s="22"/>
      <c r="X81" s="22"/>
      <c r="Y81" s="22"/>
      <c r="Z81" s="22"/>
      <c r="AA81" s="127"/>
      <c r="AB81" s="127"/>
      <c r="AC81" s="22"/>
      <c r="AD81" s="22"/>
      <c r="AE81" s="22"/>
      <c r="AF81" s="22"/>
      <c r="AG81" s="22"/>
      <c r="AH81" s="127"/>
    </row>
    <row r="82" spans="6:34" x14ac:dyDescent="0.2">
      <c r="F82" s="1"/>
      <c r="N82" s="127"/>
      <c r="O82" s="22"/>
      <c r="P82" s="22"/>
      <c r="Q82" s="22"/>
      <c r="R82" s="22"/>
      <c r="S82" s="22"/>
      <c r="T82" s="127"/>
      <c r="U82" s="127"/>
      <c r="V82" s="22"/>
      <c r="W82" s="22"/>
      <c r="X82" s="22"/>
      <c r="Y82" s="22"/>
      <c r="Z82" s="22"/>
      <c r="AA82" s="127"/>
      <c r="AB82" s="127"/>
      <c r="AC82" s="22"/>
      <c r="AD82" s="22"/>
      <c r="AE82" s="22"/>
      <c r="AF82" s="22"/>
      <c r="AG82" s="22"/>
      <c r="AH82" s="127"/>
    </row>
    <row r="83" spans="6:34" x14ac:dyDescent="0.2">
      <c r="F83" s="1"/>
      <c r="N83" s="127"/>
      <c r="O83" s="22"/>
      <c r="P83" s="22"/>
      <c r="Q83" s="22"/>
      <c r="R83" s="22"/>
      <c r="S83" s="22"/>
      <c r="T83" s="127"/>
      <c r="U83" s="127"/>
      <c r="V83" s="22"/>
      <c r="W83" s="22"/>
      <c r="X83" s="22"/>
      <c r="Y83" s="22"/>
      <c r="Z83" s="22"/>
      <c r="AA83" s="127"/>
      <c r="AB83" s="127"/>
      <c r="AC83" s="22"/>
      <c r="AD83" s="22"/>
      <c r="AE83" s="22"/>
      <c r="AF83" s="22"/>
      <c r="AG83" s="22"/>
      <c r="AH83" s="127"/>
    </row>
    <row r="84" spans="6:34" x14ac:dyDescent="0.2">
      <c r="F84" s="1"/>
      <c r="N84" s="127"/>
      <c r="O84" s="22"/>
      <c r="P84" s="22"/>
      <c r="Q84" s="22"/>
      <c r="R84" s="22"/>
      <c r="S84" s="22"/>
      <c r="T84" s="127"/>
      <c r="U84" s="127"/>
      <c r="V84" s="22"/>
      <c r="W84" s="22"/>
      <c r="X84" s="22"/>
      <c r="Y84" s="22"/>
      <c r="Z84" s="22"/>
      <c r="AA84" s="127"/>
      <c r="AB84" s="127"/>
      <c r="AC84" s="22"/>
      <c r="AD84" s="22"/>
      <c r="AE84" s="22"/>
      <c r="AF84" s="22"/>
      <c r="AG84" s="22"/>
      <c r="AH84" s="127"/>
    </row>
    <row r="85" spans="6:34" x14ac:dyDescent="0.2">
      <c r="F85" s="1"/>
      <c r="N85" s="127"/>
      <c r="O85" s="22"/>
      <c r="P85" s="22"/>
      <c r="Q85" s="22"/>
      <c r="R85" s="22"/>
      <c r="S85" s="22"/>
      <c r="T85" s="127"/>
      <c r="U85" s="127"/>
      <c r="V85" s="22"/>
      <c r="W85" s="22"/>
      <c r="X85" s="22"/>
      <c r="Y85" s="22"/>
      <c r="Z85" s="22"/>
      <c r="AA85" s="127"/>
      <c r="AB85" s="127"/>
      <c r="AC85" s="22"/>
      <c r="AD85" s="22"/>
      <c r="AE85" s="22"/>
      <c r="AF85" s="22"/>
      <c r="AG85" s="22"/>
      <c r="AH85" s="127"/>
    </row>
    <row r="86" spans="6:34" x14ac:dyDescent="0.2">
      <c r="F86" s="1"/>
      <c r="N86" s="127"/>
      <c r="O86" s="22"/>
      <c r="P86" s="22"/>
      <c r="Q86" s="22"/>
      <c r="R86" s="22"/>
      <c r="S86" s="22"/>
      <c r="T86" s="127"/>
      <c r="U86" s="127"/>
      <c r="V86" s="22"/>
      <c r="W86" s="22"/>
      <c r="X86" s="22"/>
      <c r="Y86" s="22"/>
      <c r="Z86" s="22"/>
      <c r="AA86" s="127"/>
      <c r="AB86" s="127"/>
      <c r="AC86" s="22"/>
      <c r="AD86" s="22"/>
      <c r="AE86" s="22"/>
      <c r="AF86" s="22"/>
      <c r="AG86" s="22"/>
      <c r="AH86" s="127"/>
    </row>
    <row r="87" spans="6:34" x14ac:dyDescent="0.2">
      <c r="F87" s="1"/>
      <c r="N87" s="127"/>
      <c r="O87" s="22"/>
      <c r="P87" s="22"/>
      <c r="Q87" s="22"/>
      <c r="R87" s="22"/>
      <c r="S87" s="22"/>
      <c r="T87" s="127"/>
      <c r="U87" s="127"/>
      <c r="V87" s="22"/>
      <c r="W87" s="22"/>
      <c r="X87" s="22"/>
      <c r="Y87" s="22"/>
      <c r="Z87" s="22"/>
      <c r="AA87" s="127"/>
      <c r="AB87" s="127"/>
      <c r="AC87" s="22"/>
      <c r="AD87" s="22"/>
      <c r="AE87" s="22"/>
      <c r="AF87" s="22"/>
      <c r="AG87" s="22"/>
      <c r="AH87" s="127"/>
    </row>
    <row r="88" spans="6:34" x14ac:dyDescent="0.2">
      <c r="F88" s="1"/>
      <c r="N88" s="127"/>
      <c r="O88" s="22"/>
      <c r="P88" s="22"/>
      <c r="Q88" s="22"/>
      <c r="R88" s="22"/>
      <c r="S88" s="22"/>
      <c r="T88" s="127"/>
      <c r="U88" s="127"/>
      <c r="V88" s="22"/>
      <c r="W88" s="22"/>
      <c r="X88" s="22"/>
      <c r="Y88" s="22"/>
      <c r="Z88" s="22"/>
      <c r="AA88" s="127"/>
      <c r="AB88" s="127"/>
      <c r="AC88" s="22"/>
      <c r="AD88" s="22"/>
      <c r="AE88" s="22"/>
      <c r="AF88" s="22"/>
      <c r="AG88" s="22"/>
      <c r="AH88" s="127"/>
    </row>
    <row r="89" spans="6:34" x14ac:dyDescent="0.2">
      <c r="F89" s="1"/>
      <c r="N89" s="127"/>
      <c r="O89" s="22"/>
      <c r="P89" s="22"/>
      <c r="Q89" s="22"/>
      <c r="R89" s="22"/>
      <c r="S89" s="22"/>
      <c r="T89" s="127"/>
      <c r="U89" s="127"/>
      <c r="V89" s="22"/>
      <c r="W89" s="22"/>
      <c r="X89" s="22"/>
      <c r="Y89" s="22"/>
      <c r="Z89" s="22"/>
      <c r="AA89" s="127"/>
      <c r="AB89" s="127"/>
      <c r="AC89" s="22"/>
      <c r="AD89" s="22"/>
      <c r="AE89" s="22"/>
      <c r="AF89" s="22"/>
      <c r="AG89" s="22"/>
      <c r="AH89" s="127"/>
    </row>
    <row r="90" spans="6:34" x14ac:dyDescent="0.2">
      <c r="F90" s="1"/>
      <c r="N90" s="127"/>
      <c r="O90" s="22"/>
      <c r="P90" s="22"/>
      <c r="Q90" s="22"/>
      <c r="R90" s="22"/>
      <c r="S90" s="22"/>
      <c r="T90" s="127"/>
      <c r="U90" s="127"/>
      <c r="V90" s="22"/>
      <c r="W90" s="22"/>
      <c r="X90" s="22"/>
      <c r="Y90" s="22"/>
      <c r="Z90" s="22"/>
      <c r="AA90" s="127"/>
      <c r="AB90" s="127"/>
      <c r="AC90" s="22"/>
      <c r="AD90" s="22"/>
      <c r="AE90" s="22"/>
      <c r="AF90" s="22"/>
      <c r="AG90" s="22"/>
      <c r="AH90" s="127"/>
    </row>
    <row r="91" spans="6:34" x14ac:dyDescent="0.2">
      <c r="F91" s="1"/>
      <c r="N91" s="127"/>
      <c r="O91" s="22"/>
      <c r="P91" s="22"/>
      <c r="Q91" s="22"/>
      <c r="R91" s="22"/>
      <c r="S91" s="22"/>
      <c r="T91" s="127"/>
      <c r="U91" s="127"/>
      <c r="V91" s="22"/>
      <c r="W91" s="22"/>
      <c r="X91" s="22"/>
      <c r="Y91" s="22"/>
      <c r="Z91" s="22"/>
      <c r="AA91" s="127"/>
      <c r="AB91" s="127"/>
      <c r="AC91" s="22"/>
      <c r="AD91" s="22"/>
      <c r="AE91" s="22"/>
      <c r="AF91" s="22"/>
      <c r="AG91" s="22"/>
      <c r="AH91" s="127"/>
    </row>
    <row r="92" spans="6:34" x14ac:dyDescent="0.2">
      <c r="F92" s="1"/>
      <c r="N92" s="127"/>
      <c r="O92" s="22"/>
      <c r="P92" s="22"/>
      <c r="Q92" s="22"/>
      <c r="R92" s="22"/>
      <c r="S92" s="22"/>
      <c r="T92" s="127"/>
      <c r="U92" s="127"/>
      <c r="V92" s="22"/>
      <c r="W92" s="22"/>
      <c r="X92" s="22"/>
      <c r="Y92" s="22"/>
      <c r="Z92" s="22"/>
      <c r="AA92" s="127"/>
      <c r="AB92" s="127"/>
      <c r="AC92" s="22"/>
      <c r="AD92" s="22"/>
      <c r="AE92" s="22"/>
      <c r="AF92" s="22"/>
      <c r="AG92" s="22"/>
      <c r="AH92" s="127"/>
    </row>
    <row r="93" spans="6:34" x14ac:dyDescent="0.2">
      <c r="F93" s="1"/>
      <c r="N93" s="127"/>
      <c r="O93" s="22"/>
      <c r="P93" s="22"/>
      <c r="Q93" s="22"/>
      <c r="R93" s="22"/>
      <c r="S93" s="22"/>
      <c r="T93" s="127"/>
      <c r="U93" s="127"/>
      <c r="V93" s="22"/>
      <c r="W93" s="22"/>
      <c r="X93" s="22"/>
      <c r="Y93" s="22"/>
      <c r="Z93" s="22"/>
      <c r="AA93" s="127"/>
      <c r="AB93" s="127"/>
      <c r="AC93" s="22"/>
      <c r="AD93" s="22"/>
      <c r="AE93" s="22"/>
      <c r="AF93" s="22"/>
      <c r="AG93" s="22"/>
      <c r="AH93" s="127"/>
    </row>
    <row r="94" spans="6:34" x14ac:dyDescent="0.2">
      <c r="F94" s="1"/>
      <c r="N94" s="127"/>
      <c r="O94" s="22"/>
      <c r="P94" s="22"/>
      <c r="Q94" s="22"/>
      <c r="R94" s="22"/>
      <c r="S94" s="22"/>
      <c r="T94" s="127"/>
      <c r="U94" s="127"/>
      <c r="V94" s="22"/>
      <c r="W94" s="22"/>
      <c r="X94" s="22"/>
      <c r="Y94" s="22"/>
      <c r="Z94" s="22"/>
      <c r="AA94" s="127"/>
      <c r="AB94" s="127"/>
      <c r="AC94" s="22"/>
      <c r="AD94" s="22"/>
      <c r="AE94" s="22"/>
      <c r="AF94" s="22"/>
      <c r="AG94" s="22"/>
      <c r="AH94" s="127"/>
    </row>
    <row r="95" spans="6:34" x14ac:dyDescent="0.2">
      <c r="F95" s="1"/>
      <c r="N95" s="127"/>
      <c r="O95" s="22"/>
      <c r="P95" s="22"/>
      <c r="Q95" s="22"/>
      <c r="R95" s="22"/>
      <c r="S95" s="22"/>
      <c r="T95" s="127"/>
      <c r="U95" s="127"/>
      <c r="V95" s="22"/>
      <c r="W95" s="22"/>
      <c r="X95" s="22"/>
      <c r="Y95" s="22"/>
      <c r="Z95" s="22"/>
      <c r="AA95" s="127"/>
      <c r="AB95" s="127"/>
      <c r="AC95" s="22"/>
      <c r="AD95" s="22"/>
      <c r="AE95" s="22"/>
      <c r="AF95" s="22"/>
      <c r="AG95" s="22"/>
      <c r="AH95" s="127"/>
    </row>
    <row r="96" spans="6:34" x14ac:dyDescent="0.2">
      <c r="F96" s="1"/>
      <c r="N96" s="127"/>
      <c r="O96" s="22"/>
      <c r="P96" s="22"/>
      <c r="Q96" s="22"/>
      <c r="R96" s="22"/>
      <c r="S96" s="22"/>
      <c r="T96" s="127"/>
      <c r="U96" s="127"/>
      <c r="V96" s="22"/>
      <c r="W96" s="22"/>
      <c r="X96" s="22"/>
      <c r="Y96" s="22"/>
      <c r="Z96" s="22"/>
      <c r="AA96" s="127"/>
      <c r="AB96" s="127"/>
      <c r="AC96" s="22"/>
      <c r="AD96" s="22"/>
      <c r="AE96" s="22"/>
      <c r="AF96" s="22"/>
      <c r="AG96" s="22"/>
      <c r="AH96" s="127"/>
    </row>
    <row r="97" spans="6:34" x14ac:dyDescent="0.2">
      <c r="F97" s="1"/>
      <c r="N97" s="127"/>
      <c r="O97" s="22"/>
      <c r="P97" s="22"/>
      <c r="Q97" s="22"/>
      <c r="R97" s="22"/>
      <c r="S97" s="22"/>
      <c r="T97" s="127"/>
      <c r="U97" s="127"/>
      <c r="V97" s="22"/>
      <c r="W97" s="22"/>
      <c r="X97" s="22"/>
      <c r="Y97" s="22"/>
      <c r="Z97" s="22"/>
      <c r="AA97" s="127"/>
      <c r="AB97" s="127"/>
      <c r="AC97" s="22"/>
      <c r="AD97" s="22"/>
      <c r="AE97" s="22"/>
      <c r="AF97" s="22"/>
      <c r="AG97" s="22"/>
      <c r="AH97" s="127"/>
    </row>
    <row r="98" spans="6:34" x14ac:dyDescent="0.2">
      <c r="F98" s="1"/>
      <c r="N98" s="127"/>
      <c r="O98" s="22"/>
      <c r="P98" s="22"/>
      <c r="Q98" s="22"/>
      <c r="R98" s="22"/>
      <c r="S98" s="22"/>
      <c r="T98" s="127"/>
      <c r="U98" s="127"/>
      <c r="V98" s="22"/>
      <c r="W98" s="22"/>
      <c r="X98" s="22"/>
      <c r="Y98" s="22"/>
      <c r="Z98" s="22"/>
      <c r="AA98" s="127"/>
      <c r="AB98" s="127"/>
      <c r="AC98" s="22"/>
      <c r="AD98" s="22"/>
      <c r="AE98" s="22"/>
      <c r="AF98" s="22"/>
      <c r="AG98" s="22"/>
      <c r="AH98" s="127"/>
    </row>
    <row r="99" spans="6:34" x14ac:dyDescent="0.2">
      <c r="F99" s="1"/>
      <c r="N99" s="127"/>
      <c r="O99" s="22"/>
      <c r="P99" s="22"/>
      <c r="Q99" s="22"/>
      <c r="R99" s="22"/>
      <c r="S99" s="22"/>
      <c r="T99" s="127"/>
      <c r="U99" s="127"/>
      <c r="V99" s="22"/>
      <c r="W99" s="22"/>
      <c r="X99" s="22"/>
      <c r="Y99" s="22"/>
      <c r="Z99" s="22"/>
      <c r="AA99" s="127"/>
      <c r="AB99" s="127"/>
      <c r="AC99" s="22"/>
      <c r="AD99" s="22"/>
      <c r="AE99" s="22"/>
      <c r="AF99" s="22"/>
      <c r="AG99" s="22"/>
      <c r="AH99" s="127"/>
    </row>
    <row r="100" spans="6:34" x14ac:dyDescent="0.2">
      <c r="F100" s="1"/>
      <c r="N100" s="127"/>
      <c r="O100" s="22"/>
      <c r="P100" s="22"/>
      <c r="Q100" s="22"/>
      <c r="R100" s="22"/>
      <c r="S100" s="22"/>
      <c r="T100" s="127"/>
      <c r="U100" s="127"/>
      <c r="V100" s="22"/>
      <c r="W100" s="22"/>
      <c r="X100" s="22"/>
      <c r="Y100" s="22"/>
      <c r="Z100" s="22"/>
      <c r="AA100" s="127"/>
      <c r="AB100" s="127"/>
      <c r="AC100" s="22"/>
      <c r="AD100" s="22"/>
      <c r="AE100" s="22"/>
      <c r="AF100" s="22"/>
      <c r="AG100" s="22"/>
      <c r="AH100" s="127"/>
    </row>
    <row r="101" spans="6:34" x14ac:dyDescent="0.2">
      <c r="F101" s="1"/>
      <c r="N101" s="127"/>
      <c r="O101" s="22"/>
      <c r="P101" s="22"/>
      <c r="Q101" s="22"/>
      <c r="R101" s="22"/>
      <c r="S101" s="22"/>
      <c r="T101" s="127"/>
      <c r="U101" s="127"/>
      <c r="V101" s="22"/>
      <c r="W101" s="22"/>
      <c r="X101" s="22"/>
      <c r="Y101" s="22"/>
      <c r="Z101" s="22"/>
      <c r="AA101" s="127"/>
      <c r="AB101" s="127"/>
      <c r="AC101" s="22"/>
      <c r="AD101" s="22"/>
      <c r="AE101" s="22"/>
      <c r="AF101" s="22"/>
      <c r="AG101" s="22"/>
      <c r="AH101" s="127"/>
    </row>
    <row r="102" spans="6:34" x14ac:dyDescent="0.2">
      <c r="F102" s="1"/>
      <c r="N102" s="127"/>
      <c r="O102" s="22"/>
      <c r="P102" s="22"/>
      <c r="Q102" s="22"/>
      <c r="R102" s="22"/>
      <c r="S102" s="22"/>
      <c r="T102" s="127"/>
      <c r="U102" s="127"/>
      <c r="V102" s="22"/>
      <c r="W102" s="22"/>
      <c r="X102" s="22"/>
      <c r="Y102" s="22"/>
      <c r="Z102" s="22"/>
      <c r="AA102" s="127"/>
      <c r="AB102" s="127"/>
      <c r="AC102" s="22"/>
      <c r="AD102" s="22"/>
      <c r="AE102" s="22"/>
      <c r="AF102" s="22"/>
      <c r="AG102" s="22"/>
      <c r="AH102" s="127"/>
    </row>
    <row r="103" spans="6:34" x14ac:dyDescent="0.2">
      <c r="F103" s="1"/>
      <c r="N103" s="127"/>
      <c r="O103" s="22"/>
      <c r="P103" s="22"/>
      <c r="Q103" s="22"/>
      <c r="R103" s="22"/>
      <c r="S103" s="22"/>
      <c r="T103" s="127"/>
      <c r="U103" s="127"/>
      <c r="V103" s="22"/>
      <c r="W103" s="22"/>
      <c r="X103" s="22"/>
      <c r="Y103" s="22"/>
      <c r="Z103" s="22"/>
      <c r="AA103" s="127"/>
      <c r="AB103" s="127"/>
      <c r="AC103" s="22"/>
      <c r="AD103" s="22"/>
      <c r="AE103" s="22"/>
      <c r="AF103" s="22"/>
      <c r="AG103" s="22"/>
      <c r="AH103" s="127"/>
    </row>
    <row r="104" spans="6:34" x14ac:dyDescent="0.2">
      <c r="F104" s="1"/>
      <c r="N104" s="127"/>
      <c r="O104" s="22"/>
      <c r="P104" s="22"/>
      <c r="Q104" s="22"/>
      <c r="R104" s="22"/>
      <c r="S104" s="22"/>
      <c r="T104" s="127"/>
      <c r="U104" s="127"/>
      <c r="V104" s="22"/>
      <c r="W104" s="22"/>
      <c r="X104" s="22"/>
      <c r="Y104" s="22"/>
      <c r="Z104" s="22"/>
      <c r="AA104" s="127"/>
      <c r="AB104" s="127"/>
      <c r="AC104" s="22"/>
      <c r="AD104" s="22"/>
      <c r="AE104" s="22"/>
      <c r="AF104" s="22"/>
      <c r="AG104" s="22"/>
      <c r="AH104" s="127"/>
    </row>
    <row r="105" spans="6:34" x14ac:dyDescent="0.2">
      <c r="F105" s="1"/>
      <c r="N105" s="127"/>
      <c r="O105" s="22"/>
      <c r="P105" s="22"/>
      <c r="Q105" s="22"/>
      <c r="R105" s="22"/>
      <c r="S105" s="22"/>
      <c r="T105" s="127"/>
      <c r="U105" s="127"/>
      <c r="V105" s="22"/>
      <c r="W105" s="22"/>
      <c r="X105" s="22"/>
      <c r="Y105" s="22"/>
      <c r="Z105" s="22"/>
      <c r="AA105" s="127"/>
      <c r="AB105" s="127"/>
      <c r="AC105" s="22"/>
      <c r="AD105" s="22"/>
      <c r="AE105" s="22"/>
      <c r="AF105" s="22"/>
      <c r="AG105" s="22"/>
      <c r="AH105" s="127"/>
    </row>
    <row r="106" spans="6:34" x14ac:dyDescent="0.2">
      <c r="F106" s="1"/>
      <c r="N106" s="127"/>
      <c r="O106" s="22"/>
      <c r="P106" s="22"/>
      <c r="Q106" s="22"/>
      <c r="R106" s="22"/>
      <c r="S106" s="22"/>
      <c r="T106" s="127"/>
      <c r="U106" s="127"/>
      <c r="V106" s="22"/>
      <c r="W106" s="22"/>
      <c r="X106" s="22"/>
      <c r="Y106" s="22"/>
      <c r="Z106" s="22"/>
      <c r="AA106" s="127"/>
      <c r="AB106" s="127"/>
      <c r="AC106" s="22"/>
      <c r="AD106" s="22"/>
      <c r="AE106" s="22"/>
      <c r="AF106" s="22"/>
      <c r="AG106" s="22"/>
      <c r="AH106" s="127"/>
    </row>
    <row r="107" spans="6:34" x14ac:dyDescent="0.2">
      <c r="F107" s="1"/>
      <c r="N107" s="127"/>
      <c r="O107" s="22"/>
      <c r="P107" s="22"/>
      <c r="Q107" s="22"/>
      <c r="R107" s="22"/>
      <c r="S107" s="22"/>
      <c r="T107" s="127"/>
      <c r="U107" s="127"/>
      <c r="V107" s="22"/>
      <c r="W107" s="22"/>
      <c r="X107" s="22"/>
      <c r="Y107" s="22"/>
      <c r="Z107" s="22"/>
      <c r="AA107" s="127"/>
      <c r="AB107" s="127"/>
      <c r="AC107" s="22"/>
      <c r="AD107" s="22"/>
      <c r="AE107" s="22"/>
      <c r="AF107" s="22"/>
      <c r="AG107" s="22"/>
      <c r="AH107" s="127"/>
    </row>
    <row r="108" spans="6:34" x14ac:dyDescent="0.2">
      <c r="F108" s="1"/>
      <c r="N108" s="127"/>
      <c r="O108" s="22"/>
      <c r="P108" s="22"/>
      <c r="Q108" s="22"/>
      <c r="R108" s="22"/>
      <c r="S108" s="22"/>
      <c r="T108" s="127"/>
      <c r="U108" s="127"/>
      <c r="V108" s="22"/>
      <c r="W108" s="22"/>
      <c r="X108" s="22"/>
      <c r="Y108" s="22"/>
      <c r="Z108" s="22"/>
      <c r="AA108" s="127"/>
      <c r="AB108" s="127"/>
      <c r="AC108" s="22"/>
      <c r="AD108" s="22"/>
      <c r="AE108" s="22"/>
      <c r="AF108" s="22"/>
      <c r="AG108" s="22"/>
      <c r="AH108" s="127"/>
    </row>
    <row r="109" spans="6:34" x14ac:dyDescent="0.2">
      <c r="F109" s="1"/>
      <c r="N109" s="127"/>
      <c r="O109" s="22"/>
      <c r="P109" s="22"/>
      <c r="Q109" s="22"/>
      <c r="R109" s="22"/>
      <c r="S109" s="22"/>
      <c r="T109" s="127"/>
      <c r="U109" s="127"/>
      <c r="V109" s="22"/>
      <c r="W109" s="22"/>
      <c r="X109" s="22"/>
      <c r="Y109" s="22"/>
      <c r="Z109" s="22"/>
      <c r="AA109" s="127"/>
      <c r="AB109" s="127"/>
      <c r="AC109" s="22"/>
      <c r="AD109" s="22"/>
      <c r="AE109" s="22"/>
      <c r="AF109" s="22"/>
      <c r="AG109" s="22"/>
      <c r="AH109" s="127"/>
    </row>
    <row r="110" spans="6:34" x14ac:dyDescent="0.2">
      <c r="F110" s="1"/>
      <c r="N110" s="127"/>
      <c r="O110" s="22"/>
      <c r="P110" s="22"/>
      <c r="Q110" s="22"/>
      <c r="R110" s="22"/>
      <c r="S110" s="22"/>
      <c r="T110" s="127"/>
      <c r="U110" s="127"/>
      <c r="V110" s="22"/>
      <c r="W110" s="22"/>
      <c r="X110" s="22"/>
      <c r="Y110" s="22"/>
      <c r="Z110" s="22"/>
      <c r="AA110" s="127"/>
      <c r="AB110" s="127"/>
      <c r="AC110" s="22"/>
      <c r="AD110" s="22"/>
      <c r="AE110" s="22"/>
      <c r="AF110" s="22"/>
      <c r="AG110" s="22"/>
      <c r="AH110" s="127"/>
    </row>
    <row r="111" spans="6:34" x14ac:dyDescent="0.2">
      <c r="F111" s="1"/>
      <c r="N111" s="127"/>
      <c r="O111" s="22"/>
      <c r="P111" s="22"/>
      <c r="Q111" s="22"/>
      <c r="R111" s="22"/>
      <c r="S111" s="22"/>
      <c r="T111" s="127"/>
      <c r="U111" s="127"/>
      <c r="V111" s="22"/>
      <c r="W111" s="22"/>
      <c r="X111" s="22"/>
      <c r="Y111" s="22"/>
      <c r="Z111" s="22"/>
      <c r="AA111" s="127"/>
      <c r="AB111" s="127"/>
      <c r="AC111" s="22"/>
      <c r="AD111" s="22"/>
      <c r="AE111" s="22"/>
      <c r="AF111" s="22"/>
      <c r="AG111" s="22"/>
      <c r="AH111" s="127"/>
    </row>
    <row r="112" spans="6:34" x14ac:dyDescent="0.2">
      <c r="F112" s="1"/>
      <c r="N112" s="127"/>
      <c r="O112" s="22"/>
      <c r="P112" s="22"/>
      <c r="Q112" s="22"/>
      <c r="R112" s="22"/>
      <c r="S112" s="22"/>
      <c r="T112" s="127"/>
      <c r="U112" s="127"/>
      <c r="V112" s="22"/>
      <c r="W112" s="22"/>
      <c r="X112" s="22"/>
      <c r="Y112" s="22"/>
      <c r="Z112" s="22"/>
      <c r="AA112" s="127"/>
      <c r="AB112" s="127"/>
      <c r="AC112" s="22"/>
      <c r="AD112" s="22"/>
      <c r="AE112" s="22"/>
      <c r="AF112" s="22"/>
      <c r="AG112" s="22"/>
      <c r="AH112" s="127"/>
    </row>
    <row r="113" spans="6:34" x14ac:dyDescent="0.2">
      <c r="F113" s="1"/>
      <c r="N113" s="127"/>
      <c r="O113" s="22"/>
      <c r="P113" s="22"/>
      <c r="Q113" s="22"/>
      <c r="R113" s="22"/>
      <c r="S113" s="22"/>
      <c r="T113" s="127"/>
      <c r="U113" s="127"/>
      <c r="V113" s="22"/>
      <c r="W113" s="22"/>
      <c r="X113" s="22"/>
      <c r="Y113" s="22"/>
      <c r="Z113" s="22"/>
      <c r="AA113" s="127"/>
      <c r="AB113" s="127"/>
      <c r="AC113" s="22"/>
      <c r="AD113" s="22"/>
      <c r="AE113" s="22"/>
      <c r="AF113" s="22"/>
      <c r="AG113" s="22"/>
      <c r="AH113" s="127"/>
    </row>
    <row r="114" spans="6:34" x14ac:dyDescent="0.2">
      <c r="F114" s="1"/>
      <c r="N114" s="127"/>
      <c r="O114" s="22"/>
      <c r="P114" s="22"/>
      <c r="Q114" s="22"/>
      <c r="R114" s="22"/>
      <c r="S114" s="22"/>
      <c r="T114" s="127"/>
      <c r="U114" s="127"/>
      <c r="V114" s="22"/>
      <c r="W114" s="22"/>
      <c r="X114" s="22"/>
      <c r="Y114" s="22"/>
      <c r="Z114" s="22"/>
      <c r="AA114" s="127"/>
      <c r="AB114" s="127"/>
      <c r="AC114" s="22"/>
      <c r="AD114" s="22"/>
      <c r="AE114" s="22"/>
      <c r="AF114" s="22"/>
      <c r="AG114" s="22"/>
      <c r="AH114" s="127"/>
    </row>
    <row r="115" spans="6:34" x14ac:dyDescent="0.2">
      <c r="F115" s="1"/>
      <c r="N115" s="127"/>
      <c r="O115" s="22"/>
      <c r="P115" s="22"/>
      <c r="Q115" s="22"/>
      <c r="R115" s="22"/>
      <c r="S115" s="22"/>
      <c r="T115" s="127"/>
      <c r="U115" s="127"/>
      <c r="V115" s="22"/>
      <c r="W115" s="22"/>
      <c r="X115" s="22"/>
      <c r="Y115" s="22"/>
      <c r="Z115" s="22"/>
      <c r="AA115" s="127"/>
      <c r="AB115" s="127"/>
      <c r="AC115" s="22"/>
      <c r="AD115" s="22"/>
      <c r="AE115" s="22"/>
      <c r="AF115" s="22"/>
      <c r="AG115" s="22"/>
      <c r="AH115" s="127"/>
    </row>
    <row r="116" spans="6:34" x14ac:dyDescent="0.2">
      <c r="F116" s="1"/>
      <c r="N116" s="127"/>
      <c r="O116" s="22"/>
      <c r="P116" s="22"/>
      <c r="Q116" s="22"/>
      <c r="R116" s="22"/>
      <c r="S116" s="22"/>
      <c r="T116" s="127"/>
      <c r="U116" s="127"/>
      <c r="V116" s="22"/>
      <c r="W116" s="22"/>
      <c r="X116" s="22"/>
      <c r="Y116" s="22"/>
      <c r="Z116" s="22"/>
      <c r="AA116" s="127"/>
      <c r="AB116" s="127"/>
      <c r="AC116" s="22"/>
      <c r="AD116" s="22"/>
      <c r="AE116" s="22"/>
      <c r="AF116" s="22"/>
      <c r="AG116" s="22"/>
      <c r="AH116" s="127"/>
    </row>
    <row r="117" spans="6:34" x14ac:dyDescent="0.2">
      <c r="F117" s="1"/>
      <c r="N117" s="127"/>
      <c r="O117" s="22"/>
      <c r="P117" s="22"/>
      <c r="Q117" s="22"/>
      <c r="R117" s="22"/>
      <c r="S117" s="22"/>
      <c r="T117" s="127"/>
      <c r="U117" s="127"/>
      <c r="V117" s="22"/>
      <c r="W117" s="22"/>
      <c r="X117" s="22"/>
      <c r="Y117" s="22"/>
      <c r="Z117" s="22"/>
      <c r="AA117" s="127"/>
      <c r="AB117" s="127"/>
      <c r="AC117" s="22"/>
      <c r="AD117" s="22"/>
      <c r="AE117" s="22"/>
      <c r="AF117" s="22"/>
      <c r="AG117" s="22"/>
      <c r="AH117" s="127"/>
    </row>
    <row r="118" spans="6:34" x14ac:dyDescent="0.2">
      <c r="F118" s="1"/>
      <c r="N118" s="127"/>
      <c r="O118" s="22"/>
      <c r="P118" s="22"/>
      <c r="Q118" s="22"/>
      <c r="R118" s="22"/>
      <c r="S118" s="22"/>
      <c r="T118" s="127"/>
      <c r="U118" s="127"/>
      <c r="V118" s="22"/>
      <c r="W118" s="22"/>
      <c r="X118" s="22"/>
      <c r="Y118" s="22"/>
      <c r="Z118" s="22"/>
      <c r="AA118" s="127"/>
      <c r="AB118" s="127"/>
      <c r="AC118" s="22"/>
      <c r="AD118" s="22"/>
      <c r="AE118" s="22"/>
      <c r="AF118" s="22"/>
      <c r="AG118" s="22"/>
      <c r="AH118" s="127"/>
    </row>
    <row r="119" spans="6:34" x14ac:dyDescent="0.2">
      <c r="F119" s="1"/>
      <c r="N119" s="127"/>
      <c r="O119" s="22"/>
      <c r="P119" s="22"/>
      <c r="Q119" s="22"/>
      <c r="R119" s="22"/>
      <c r="S119" s="22"/>
      <c r="T119" s="127"/>
      <c r="U119" s="127"/>
      <c r="V119" s="22"/>
      <c r="W119" s="22"/>
      <c r="X119" s="22"/>
      <c r="Y119" s="22"/>
      <c r="Z119" s="22"/>
      <c r="AA119" s="127"/>
      <c r="AB119" s="127"/>
      <c r="AC119" s="22"/>
      <c r="AD119" s="22"/>
      <c r="AE119" s="22"/>
      <c r="AF119" s="22"/>
      <c r="AG119" s="22"/>
      <c r="AH119" s="127"/>
    </row>
    <row r="120" spans="6:34" x14ac:dyDescent="0.2">
      <c r="F120" s="1"/>
      <c r="N120" s="127"/>
      <c r="O120" s="22"/>
      <c r="P120" s="22"/>
      <c r="Q120" s="22"/>
      <c r="R120" s="22"/>
      <c r="S120" s="22"/>
      <c r="T120" s="127"/>
      <c r="U120" s="127"/>
      <c r="V120" s="22"/>
      <c r="W120" s="22"/>
      <c r="X120" s="22"/>
      <c r="Y120" s="22"/>
      <c r="Z120" s="22"/>
      <c r="AA120" s="127"/>
      <c r="AB120" s="127"/>
      <c r="AC120" s="22"/>
      <c r="AD120" s="22"/>
      <c r="AE120" s="22"/>
      <c r="AF120" s="22"/>
      <c r="AG120" s="22"/>
      <c r="AH120" s="127"/>
    </row>
    <row r="121" spans="6:34" x14ac:dyDescent="0.2">
      <c r="F121" s="1"/>
      <c r="N121" s="127"/>
      <c r="O121" s="22"/>
      <c r="P121" s="22"/>
      <c r="Q121" s="22"/>
      <c r="R121" s="22"/>
      <c r="S121" s="22"/>
      <c r="T121" s="127"/>
      <c r="U121" s="127"/>
      <c r="V121" s="22"/>
      <c r="W121" s="22"/>
      <c r="X121" s="22"/>
      <c r="Y121" s="22"/>
      <c r="Z121" s="22"/>
      <c r="AA121" s="127"/>
      <c r="AB121" s="127"/>
      <c r="AC121" s="22"/>
      <c r="AD121" s="22"/>
      <c r="AE121" s="22"/>
      <c r="AF121" s="22"/>
      <c r="AG121" s="22"/>
      <c r="AH121" s="127"/>
    </row>
    <row r="122" spans="6:34" x14ac:dyDescent="0.2">
      <c r="F122" s="1"/>
      <c r="N122" s="127"/>
      <c r="O122" s="22"/>
      <c r="P122" s="22"/>
      <c r="Q122" s="22"/>
      <c r="R122" s="22"/>
      <c r="S122" s="22"/>
      <c r="T122" s="127"/>
      <c r="U122" s="127"/>
      <c r="V122" s="22"/>
      <c r="W122" s="22"/>
      <c r="X122" s="22"/>
      <c r="Y122" s="22"/>
      <c r="Z122" s="22"/>
      <c r="AA122" s="127"/>
      <c r="AB122" s="127"/>
      <c r="AC122" s="22"/>
      <c r="AD122" s="22"/>
      <c r="AE122" s="22"/>
      <c r="AF122" s="22"/>
      <c r="AG122" s="22"/>
      <c r="AH122" s="127"/>
    </row>
    <row r="123" spans="6:34" x14ac:dyDescent="0.2">
      <c r="F123" s="1"/>
      <c r="N123" s="127"/>
      <c r="O123" s="22"/>
      <c r="P123" s="22"/>
      <c r="Q123" s="22"/>
      <c r="R123" s="22"/>
      <c r="S123" s="22"/>
      <c r="T123" s="127"/>
      <c r="U123" s="127"/>
      <c r="V123" s="22"/>
      <c r="W123" s="22"/>
      <c r="X123" s="22"/>
      <c r="Y123" s="22"/>
      <c r="Z123" s="22"/>
      <c r="AA123" s="127"/>
      <c r="AB123" s="127"/>
      <c r="AC123" s="22"/>
      <c r="AD123" s="22"/>
      <c r="AE123" s="22"/>
      <c r="AF123" s="22"/>
      <c r="AG123" s="22"/>
      <c r="AH123" s="127"/>
    </row>
    <row r="124" spans="6:34" x14ac:dyDescent="0.2">
      <c r="F124" s="1"/>
      <c r="N124" s="127"/>
      <c r="O124" s="22"/>
      <c r="P124" s="22"/>
      <c r="Q124" s="22"/>
      <c r="R124" s="22"/>
      <c r="S124" s="22"/>
      <c r="T124" s="127"/>
      <c r="U124" s="127"/>
      <c r="V124" s="22"/>
      <c r="W124" s="22"/>
      <c r="X124" s="22"/>
      <c r="Y124" s="22"/>
      <c r="Z124" s="22"/>
      <c r="AA124" s="127"/>
      <c r="AB124" s="127"/>
      <c r="AC124" s="22"/>
      <c r="AD124" s="22"/>
      <c r="AE124" s="22"/>
      <c r="AF124" s="22"/>
      <c r="AG124" s="22"/>
      <c r="AH124" s="127"/>
    </row>
    <row r="125" spans="6:34" x14ac:dyDescent="0.2">
      <c r="F125" s="1"/>
      <c r="N125" s="127"/>
      <c r="O125" s="22"/>
      <c r="P125" s="22"/>
      <c r="Q125" s="22"/>
      <c r="R125" s="22"/>
      <c r="S125" s="22"/>
      <c r="T125" s="127"/>
      <c r="U125" s="127"/>
      <c r="V125" s="22"/>
      <c r="W125" s="22"/>
      <c r="X125" s="22"/>
      <c r="Y125" s="22"/>
      <c r="Z125" s="22"/>
      <c r="AA125" s="127"/>
      <c r="AB125" s="127"/>
      <c r="AC125" s="22"/>
      <c r="AD125" s="22"/>
      <c r="AE125" s="22"/>
      <c r="AF125" s="22"/>
      <c r="AG125" s="22"/>
      <c r="AH125" s="127"/>
    </row>
    <row r="126" spans="6:34" x14ac:dyDescent="0.2">
      <c r="F126" s="1"/>
      <c r="N126" s="127"/>
      <c r="O126" s="22"/>
      <c r="P126" s="22"/>
      <c r="Q126" s="22"/>
      <c r="R126" s="22"/>
      <c r="S126" s="22"/>
      <c r="T126" s="127"/>
      <c r="U126" s="127"/>
      <c r="V126" s="22"/>
      <c r="W126" s="22"/>
      <c r="X126" s="22"/>
      <c r="Y126" s="22"/>
      <c r="Z126" s="22"/>
      <c r="AA126" s="127"/>
      <c r="AB126" s="127"/>
      <c r="AC126" s="22"/>
      <c r="AD126" s="22"/>
      <c r="AE126" s="22"/>
      <c r="AF126" s="22"/>
      <c r="AG126" s="22"/>
      <c r="AH126" s="127"/>
    </row>
    <row r="127" spans="6:34" x14ac:dyDescent="0.2">
      <c r="F127" s="1"/>
      <c r="N127" s="127"/>
      <c r="O127" s="22"/>
      <c r="P127" s="22"/>
      <c r="Q127" s="22"/>
      <c r="R127" s="22"/>
      <c r="S127" s="22"/>
      <c r="T127" s="127"/>
      <c r="U127" s="127"/>
      <c r="V127" s="22"/>
      <c r="W127" s="22"/>
      <c r="X127" s="22"/>
      <c r="Y127" s="22"/>
      <c r="Z127" s="22"/>
      <c r="AA127" s="127"/>
      <c r="AB127" s="127"/>
      <c r="AC127" s="22"/>
      <c r="AD127" s="22"/>
      <c r="AE127" s="22"/>
      <c r="AF127" s="22"/>
      <c r="AG127" s="22"/>
      <c r="AH127" s="127"/>
    </row>
    <row r="128" spans="6:34" x14ac:dyDescent="0.2">
      <c r="F128" s="1"/>
      <c r="N128" s="127"/>
      <c r="O128" s="22"/>
      <c r="P128" s="22"/>
      <c r="Q128" s="22"/>
      <c r="R128" s="22"/>
      <c r="S128" s="22"/>
      <c r="T128" s="127"/>
      <c r="U128" s="127"/>
      <c r="V128" s="22"/>
      <c r="W128" s="22"/>
      <c r="X128" s="22"/>
      <c r="Y128" s="22"/>
      <c r="Z128" s="22"/>
      <c r="AA128" s="127"/>
      <c r="AB128" s="127"/>
      <c r="AC128" s="22"/>
      <c r="AD128" s="22"/>
      <c r="AE128" s="22"/>
      <c r="AF128" s="22"/>
      <c r="AG128" s="22"/>
      <c r="AH128" s="127"/>
    </row>
    <row r="129" spans="6:34" x14ac:dyDescent="0.2">
      <c r="F129" s="1"/>
      <c r="N129" s="127"/>
      <c r="O129" s="22"/>
      <c r="P129" s="22"/>
      <c r="Q129" s="22"/>
      <c r="R129" s="22"/>
      <c r="S129" s="22"/>
      <c r="T129" s="127"/>
      <c r="U129" s="127"/>
      <c r="V129" s="22"/>
      <c r="W129" s="22"/>
      <c r="X129" s="22"/>
      <c r="Y129" s="22"/>
      <c r="Z129" s="22"/>
      <c r="AA129" s="127"/>
      <c r="AB129" s="127"/>
      <c r="AC129" s="22"/>
      <c r="AD129" s="22"/>
      <c r="AE129" s="22"/>
      <c r="AF129" s="22"/>
      <c r="AG129" s="22"/>
      <c r="AH129" s="127"/>
    </row>
    <row r="130" spans="6:34" x14ac:dyDescent="0.2">
      <c r="F130" s="1"/>
      <c r="N130" s="127"/>
      <c r="O130" s="22"/>
      <c r="P130" s="22"/>
      <c r="Q130" s="22"/>
      <c r="R130" s="22"/>
      <c r="S130" s="22"/>
      <c r="T130" s="127"/>
      <c r="U130" s="127"/>
      <c r="V130" s="22"/>
      <c r="W130" s="22"/>
      <c r="X130" s="22"/>
      <c r="Y130" s="22"/>
      <c r="Z130" s="22"/>
      <c r="AA130" s="127"/>
      <c r="AB130" s="127"/>
      <c r="AC130" s="22"/>
      <c r="AD130" s="22"/>
      <c r="AE130" s="22"/>
      <c r="AF130" s="22"/>
      <c r="AG130" s="22"/>
      <c r="AH130" s="127"/>
    </row>
    <row r="131" spans="6:34" x14ac:dyDescent="0.2">
      <c r="F131" s="1"/>
      <c r="N131" s="127"/>
      <c r="O131" s="22"/>
      <c r="P131" s="22"/>
      <c r="Q131" s="22"/>
      <c r="R131" s="22"/>
      <c r="S131" s="22"/>
      <c r="T131" s="127"/>
      <c r="U131" s="127"/>
      <c r="V131" s="22"/>
      <c r="W131" s="22"/>
      <c r="X131" s="22"/>
      <c r="Y131" s="22"/>
      <c r="Z131" s="22"/>
      <c r="AA131" s="127"/>
      <c r="AB131" s="127"/>
      <c r="AC131" s="22"/>
      <c r="AD131" s="22"/>
      <c r="AE131" s="22"/>
      <c r="AF131" s="22"/>
      <c r="AG131" s="22"/>
      <c r="AH131" s="127"/>
    </row>
    <row r="132" spans="6:34" x14ac:dyDescent="0.2">
      <c r="F132" s="1"/>
      <c r="N132" s="127"/>
      <c r="O132" s="22"/>
      <c r="P132" s="22"/>
      <c r="Q132" s="22"/>
      <c r="R132" s="22"/>
      <c r="S132" s="22"/>
      <c r="T132" s="127"/>
      <c r="U132" s="127"/>
      <c r="V132" s="22"/>
      <c r="W132" s="22"/>
      <c r="X132" s="22"/>
      <c r="Y132" s="22"/>
      <c r="Z132" s="22"/>
      <c r="AA132" s="127"/>
      <c r="AB132" s="127"/>
      <c r="AC132" s="22"/>
      <c r="AD132" s="22"/>
      <c r="AE132" s="22"/>
      <c r="AF132" s="22"/>
      <c r="AG132" s="22"/>
      <c r="AH132" s="127"/>
    </row>
    <row r="133" spans="6:34" x14ac:dyDescent="0.2">
      <c r="F133" s="1"/>
      <c r="N133" s="127"/>
      <c r="O133" s="22"/>
      <c r="P133" s="22"/>
      <c r="Q133" s="22"/>
      <c r="R133" s="22"/>
      <c r="S133" s="22"/>
      <c r="T133" s="127"/>
      <c r="U133" s="127"/>
      <c r="V133" s="22"/>
      <c r="W133" s="22"/>
      <c r="X133" s="22"/>
      <c r="Y133" s="22"/>
      <c r="Z133" s="22"/>
      <c r="AA133" s="127"/>
      <c r="AB133" s="127"/>
      <c r="AC133" s="22"/>
      <c r="AD133" s="22"/>
      <c r="AE133" s="22"/>
      <c r="AF133" s="22"/>
      <c r="AG133" s="22"/>
      <c r="AH133" s="127"/>
    </row>
    <row r="134" spans="6:34" x14ac:dyDescent="0.2">
      <c r="F134" s="1"/>
      <c r="N134" s="127"/>
      <c r="O134" s="22"/>
      <c r="P134" s="22"/>
      <c r="Q134" s="22"/>
      <c r="R134" s="22"/>
      <c r="S134" s="22"/>
      <c r="T134" s="127"/>
      <c r="U134" s="127"/>
      <c r="V134" s="22"/>
      <c r="W134" s="22"/>
      <c r="X134" s="22"/>
      <c r="Y134" s="22"/>
      <c r="Z134" s="22"/>
      <c r="AA134" s="127"/>
      <c r="AB134" s="127"/>
      <c r="AC134" s="22"/>
      <c r="AD134" s="22"/>
      <c r="AE134" s="22"/>
      <c r="AF134" s="22"/>
      <c r="AG134" s="22"/>
      <c r="AH134" s="127"/>
    </row>
    <row r="135" spans="6:34" x14ac:dyDescent="0.2">
      <c r="F135" s="1"/>
      <c r="N135" s="127"/>
      <c r="O135" s="22"/>
      <c r="P135" s="22"/>
      <c r="Q135" s="22"/>
      <c r="R135" s="22"/>
      <c r="S135" s="22"/>
      <c r="T135" s="127"/>
      <c r="U135" s="127"/>
      <c r="V135" s="22"/>
      <c r="W135" s="22"/>
      <c r="X135" s="22"/>
      <c r="Y135" s="22"/>
      <c r="Z135" s="22"/>
      <c r="AA135" s="127"/>
      <c r="AB135" s="127"/>
      <c r="AC135" s="22"/>
      <c r="AD135" s="22"/>
      <c r="AE135" s="22"/>
      <c r="AF135" s="22"/>
      <c r="AG135" s="22"/>
      <c r="AH135" s="127"/>
    </row>
    <row r="136" spans="6:34" x14ac:dyDescent="0.2">
      <c r="F136" s="1"/>
      <c r="N136" s="127"/>
      <c r="O136" s="22"/>
      <c r="P136" s="22"/>
      <c r="Q136" s="22"/>
      <c r="R136" s="22"/>
      <c r="S136" s="22"/>
      <c r="T136" s="127"/>
      <c r="U136" s="127"/>
      <c r="V136" s="22"/>
      <c r="W136" s="22"/>
      <c r="X136" s="22"/>
      <c r="Y136" s="22"/>
      <c r="Z136" s="22"/>
      <c r="AA136" s="127"/>
      <c r="AB136" s="127"/>
      <c r="AC136" s="22"/>
      <c r="AD136" s="22"/>
      <c r="AE136" s="22"/>
      <c r="AF136" s="22"/>
      <c r="AG136" s="22"/>
      <c r="AH136" s="127"/>
    </row>
    <row r="137" spans="6:34" x14ac:dyDescent="0.2">
      <c r="F137" s="1"/>
      <c r="N137" s="127"/>
      <c r="O137" s="22"/>
      <c r="P137" s="22"/>
      <c r="Q137" s="22"/>
      <c r="R137" s="22"/>
      <c r="S137" s="22"/>
      <c r="T137" s="127"/>
      <c r="U137" s="127"/>
      <c r="V137" s="22"/>
      <c r="W137" s="22"/>
      <c r="X137" s="22"/>
      <c r="Y137" s="22"/>
      <c r="Z137" s="22"/>
      <c r="AA137" s="127"/>
      <c r="AB137" s="127"/>
      <c r="AC137" s="22"/>
      <c r="AD137" s="22"/>
      <c r="AE137" s="22"/>
      <c r="AF137" s="22"/>
      <c r="AG137" s="22"/>
      <c r="AH137" s="127"/>
    </row>
    <row r="138" spans="6:34" x14ac:dyDescent="0.2">
      <c r="F138" s="1"/>
      <c r="N138" s="127"/>
      <c r="O138" s="22"/>
      <c r="P138" s="22"/>
      <c r="Q138" s="22"/>
      <c r="R138" s="22"/>
      <c r="S138" s="22"/>
      <c r="T138" s="127"/>
      <c r="U138" s="127"/>
      <c r="V138" s="22"/>
      <c r="W138" s="22"/>
      <c r="X138" s="22"/>
      <c r="Y138" s="22"/>
      <c r="Z138" s="22"/>
      <c r="AA138" s="127"/>
      <c r="AB138" s="127"/>
      <c r="AC138" s="22"/>
      <c r="AD138" s="22"/>
      <c r="AE138" s="22"/>
      <c r="AF138" s="22"/>
      <c r="AG138" s="22"/>
      <c r="AH138" s="127"/>
    </row>
    <row r="139" spans="6:34" x14ac:dyDescent="0.2">
      <c r="F139" s="1"/>
      <c r="N139" s="127"/>
      <c r="O139" s="22"/>
      <c r="P139" s="22"/>
      <c r="Q139" s="22"/>
      <c r="R139" s="22"/>
      <c r="S139" s="22"/>
      <c r="T139" s="127"/>
      <c r="U139" s="127"/>
      <c r="V139" s="22"/>
      <c r="W139" s="22"/>
      <c r="X139" s="22"/>
      <c r="Y139" s="22"/>
      <c r="Z139" s="22"/>
      <c r="AA139" s="127"/>
      <c r="AB139" s="127"/>
      <c r="AC139" s="22"/>
      <c r="AD139" s="22"/>
      <c r="AE139" s="22"/>
      <c r="AF139" s="22"/>
      <c r="AG139" s="22"/>
      <c r="AH139" s="127"/>
    </row>
    <row r="140" spans="6:34" x14ac:dyDescent="0.2">
      <c r="F140" s="1"/>
      <c r="N140" s="127"/>
      <c r="O140" s="22"/>
      <c r="P140" s="22"/>
      <c r="Q140" s="22"/>
      <c r="R140" s="22"/>
      <c r="S140" s="22"/>
      <c r="T140" s="127"/>
      <c r="U140" s="127"/>
      <c r="V140" s="22"/>
      <c r="W140" s="22"/>
      <c r="X140" s="22"/>
      <c r="Y140" s="22"/>
      <c r="Z140" s="22"/>
      <c r="AA140" s="127"/>
      <c r="AB140" s="127"/>
      <c r="AC140" s="22"/>
      <c r="AD140" s="22"/>
      <c r="AE140" s="22"/>
      <c r="AF140" s="22"/>
      <c r="AG140" s="22"/>
      <c r="AH140" s="127"/>
    </row>
    <row r="141" spans="6:34" x14ac:dyDescent="0.2">
      <c r="F141" s="1"/>
      <c r="N141" s="127"/>
      <c r="O141" s="22"/>
      <c r="P141" s="22"/>
      <c r="Q141" s="22"/>
      <c r="R141" s="22"/>
      <c r="S141" s="22"/>
      <c r="T141" s="127"/>
      <c r="U141" s="127"/>
      <c r="V141" s="22"/>
      <c r="W141" s="22"/>
      <c r="X141" s="22"/>
      <c r="Y141" s="22"/>
      <c r="Z141" s="22"/>
      <c r="AA141" s="127"/>
      <c r="AB141" s="127"/>
      <c r="AC141" s="22"/>
      <c r="AD141" s="22"/>
      <c r="AE141" s="22"/>
      <c r="AF141" s="22"/>
      <c r="AG141" s="22"/>
      <c r="AH141" s="127"/>
    </row>
    <row r="142" spans="6:34" x14ac:dyDescent="0.2">
      <c r="F142" s="1"/>
      <c r="N142" s="127"/>
      <c r="O142" s="22"/>
      <c r="P142" s="22"/>
      <c r="Q142" s="22"/>
      <c r="R142" s="22"/>
      <c r="S142" s="22"/>
      <c r="T142" s="127"/>
      <c r="U142" s="127"/>
      <c r="V142" s="22"/>
      <c r="W142" s="22"/>
      <c r="X142" s="22"/>
      <c r="Y142" s="22"/>
      <c r="Z142" s="22"/>
      <c r="AA142" s="127"/>
      <c r="AB142" s="127"/>
      <c r="AC142" s="22"/>
      <c r="AD142" s="22"/>
      <c r="AE142" s="22"/>
      <c r="AF142" s="22"/>
      <c r="AG142" s="22"/>
      <c r="AH142" s="127"/>
    </row>
    <row r="143" spans="6:34" x14ac:dyDescent="0.2">
      <c r="F143" s="1"/>
      <c r="N143" s="127"/>
      <c r="O143" s="22"/>
      <c r="P143" s="22"/>
      <c r="Q143" s="22"/>
      <c r="R143" s="22"/>
      <c r="S143" s="22"/>
      <c r="T143" s="127"/>
      <c r="U143" s="127"/>
      <c r="V143" s="22"/>
      <c r="W143" s="22"/>
      <c r="X143" s="22"/>
      <c r="Y143" s="22"/>
      <c r="Z143" s="22"/>
      <c r="AA143" s="127"/>
      <c r="AB143" s="127"/>
      <c r="AC143" s="22"/>
      <c r="AD143" s="22"/>
      <c r="AE143" s="22"/>
      <c r="AF143" s="22"/>
      <c r="AG143" s="22"/>
      <c r="AH143" s="127"/>
    </row>
    <row r="144" spans="6:34" x14ac:dyDescent="0.2">
      <c r="F144" s="1"/>
      <c r="N144" s="127"/>
      <c r="O144" s="22"/>
      <c r="P144" s="22"/>
      <c r="Q144" s="22"/>
      <c r="R144" s="22"/>
      <c r="S144" s="22"/>
      <c r="T144" s="127"/>
      <c r="U144" s="127"/>
      <c r="V144" s="22"/>
      <c r="W144" s="22"/>
      <c r="X144" s="22"/>
      <c r="Y144" s="22"/>
      <c r="Z144" s="22"/>
      <c r="AA144" s="127"/>
      <c r="AB144" s="127"/>
      <c r="AC144" s="22"/>
      <c r="AD144" s="22"/>
      <c r="AE144" s="22"/>
      <c r="AF144" s="22"/>
      <c r="AG144" s="22"/>
      <c r="AH144" s="127"/>
    </row>
    <row r="145" spans="6:34" x14ac:dyDescent="0.2">
      <c r="F145" s="1"/>
      <c r="N145" s="127"/>
      <c r="O145" s="22"/>
      <c r="P145" s="22"/>
      <c r="Q145" s="22"/>
      <c r="R145" s="22"/>
      <c r="S145" s="22"/>
      <c r="T145" s="127"/>
      <c r="U145" s="127"/>
      <c r="V145" s="22"/>
      <c r="W145" s="22"/>
      <c r="X145" s="22"/>
      <c r="Y145" s="22"/>
      <c r="Z145" s="22"/>
      <c r="AA145" s="127"/>
      <c r="AB145" s="127"/>
      <c r="AC145" s="22"/>
      <c r="AD145" s="22"/>
      <c r="AE145" s="22"/>
      <c r="AF145" s="22"/>
      <c r="AG145" s="22"/>
      <c r="AH145" s="127"/>
    </row>
    <row r="146" spans="6:34" x14ac:dyDescent="0.2">
      <c r="F146" s="1"/>
      <c r="N146" s="127"/>
      <c r="O146" s="22"/>
      <c r="P146" s="22"/>
      <c r="Q146" s="22"/>
      <c r="R146" s="22"/>
      <c r="S146" s="22"/>
      <c r="T146" s="127"/>
      <c r="U146" s="127"/>
      <c r="V146" s="22"/>
      <c r="W146" s="22"/>
      <c r="X146" s="22"/>
      <c r="Y146" s="22"/>
      <c r="Z146" s="22"/>
      <c r="AA146" s="127"/>
      <c r="AB146" s="127"/>
      <c r="AC146" s="22"/>
      <c r="AD146" s="22"/>
      <c r="AE146" s="22"/>
      <c r="AF146" s="22"/>
      <c r="AG146" s="22"/>
      <c r="AH146" s="127"/>
    </row>
    <row r="147" spans="6:34" x14ac:dyDescent="0.2">
      <c r="F147" s="1"/>
      <c r="N147" s="127"/>
      <c r="O147" s="22"/>
      <c r="P147" s="22"/>
      <c r="Q147" s="22"/>
      <c r="R147" s="22"/>
      <c r="S147" s="22"/>
      <c r="T147" s="127"/>
      <c r="U147" s="127"/>
      <c r="V147" s="22"/>
      <c r="W147" s="22"/>
      <c r="X147" s="22"/>
      <c r="Y147" s="22"/>
      <c r="Z147" s="22"/>
      <c r="AA147" s="127"/>
      <c r="AB147" s="127"/>
      <c r="AC147" s="22"/>
      <c r="AD147" s="22"/>
      <c r="AE147" s="22"/>
      <c r="AF147" s="22"/>
      <c r="AG147" s="22"/>
      <c r="AH147" s="127"/>
    </row>
    <row r="148" spans="6:34" x14ac:dyDescent="0.2">
      <c r="F148" s="1"/>
      <c r="N148" s="127"/>
      <c r="O148" s="22"/>
      <c r="P148" s="22"/>
      <c r="Q148" s="22"/>
      <c r="R148" s="22"/>
      <c r="S148" s="22"/>
      <c r="T148" s="127"/>
      <c r="U148" s="127"/>
      <c r="V148" s="22"/>
      <c r="W148" s="22"/>
      <c r="X148" s="22"/>
      <c r="Y148" s="22"/>
      <c r="Z148" s="22"/>
      <c r="AA148" s="127"/>
      <c r="AB148" s="127"/>
      <c r="AC148" s="22"/>
      <c r="AD148" s="22"/>
      <c r="AE148" s="22"/>
      <c r="AF148" s="22"/>
      <c r="AG148" s="22"/>
      <c r="AH148" s="127"/>
    </row>
    <row r="149" spans="6:34" x14ac:dyDescent="0.2">
      <c r="F149" s="1"/>
      <c r="N149" s="127"/>
      <c r="O149" s="22"/>
      <c r="P149" s="22"/>
      <c r="Q149" s="22"/>
      <c r="R149" s="22"/>
      <c r="S149" s="22"/>
      <c r="T149" s="127"/>
      <c r="U149" s="127"/>
      <c r="V149" s="22"/>
      <c r="W149" s="22"/>
      <c r="X149" s="22"/>
      <c r="Y149" s="22"/>
      <c r="Z149" s="22"/>
      <c r="AA149" s="127"/>
      <c r="AB149" s="127"/>
      <c r="AC149" s="22"/>
      <c r="AD149" s="22"/>
      <c r="AE149" s="22"/>
      <c r="AF149" s="22"/>
      <c r="AG149" s="22"/>
      <c r="AH149" s="127"/>
    </row>
    <row r="150" spans="6:34" x14ac:dyDescent="0.2">
      <c r="F150" s="1"/>
      <c r="N150" s="127"/>
      <c r="O150" s="22"/>
      <c r="P150" s="22"/>
      <c r="Q150" s="22"/>
      <c r="R150" s="22"/>
      <c r="S150" s="22"/>
      <c r="T150" s="127"/>
      <c r="U150" s="127"/>
      <c r="V150" s="22"/>
      <c r="W150" s="22"/>
      <c r="X150" s="22"/>
      <c r="Y150" s="22"/>
      <c r="Z150" s="22"/>
      <c r="AA150" s="127"/>
      <c r="AB150" s="127"/>
      <c r="AC150" s="22"/>
      <c r="AD150" s="22"/>
      <c r="AE150" s="22"/>
      <c r="AF150" s="22"/>
      <c r="AG150" s="22"/>
      <c r="AH150" s="127"/>
    </row>
    <row r="151" spans="6:34" x14ac:dyDescent="0.2">
      <c r="F151" s="1"/>
      <c r="N151" s="127"/>
      <c r="O151" s="22"/>
      <c r="P151" s="22"/>
      <c r="Q151" s="22"/>
      <c r="R151" s="22"/>
      <c r="S151" s="22"/>
      <c r="T151" s="127"/>
      <c r="U151" s="127"/>
      <c r="V151" s="22"/>
      <c r="W151" s="22"/>
      <c r="X151" s="22"/>
      <c r="Y151" s="22"/>
      <c r="Z151" s="22"/>
      <c r="AA151" s="127"/>
      <c r="AB151" s="127"/>
      <c r="AC151" s="22"/>
      <c r="AD151" s="22"/>
      <c r="AE151" s="22"/>
      <c r="AF151" s="22"/>
      <c r="AG151" s="22"/>
      <c r="AH151" s="127"/>
    </row>
    <row r="152" spans="6:34" x14ac:dyDescent="0.2">
      <c r="F152" s="1"/>
      <c r="N152" s="127"/>
      <c r="O152" s="22"/>
      <c r="P152" s="22"/>
      <c r="Q152" s="22"/>
      <c r="R152" s="22"/>
      <c r="S152" s="22"/>
      <c r="T152" s="127"/>
      <c r="U152" s="127"/>
      <c r="V152" s="22"/>
      <c r="W152" s="22"/>
      <c r="X152" s="22"/>
      <c r="Y152" s="22"/>
      <c r="Z152" s="22"/>
      <c r="AA152" s="127"/>
      <c r="AB152" s="127"/>
      <c r="AC152" s="22"/>
      <c r="AD152" s="22"/>
      <c r="AE152" s="22"/>
      <c r="AF152" s="22"/>
      <c r="AG152" s="22"/>
      <c r="AH152" s="127"/>
    </row>
    <row r="153" spans="6:34" x14ac:dyDescent="0.2">
      <c r="F153" s="1"/>
      <c r="N153" s="127"/>
      <c r="O153" s="22"/>
      <c r="P153" s="22"/>
      <c r="Q153" s="22"/>
      <c r="R153" s="22"/>
      <c r="S153" s="22"/>
      <c r="T153" s="127"/>
      <c r="U153" s="127"/>
      <c r="V153" s="22"/>
      <c r="W153" s="22"/>
      <c r="X153" s="22"/>
      <c r="Y153" s="22"/>
      <c r="Z153" s="22"/>
      <c r="AA153" s="127"/>
      <c r="AB153" s="127"/>
      <c r="AC153" s="22"/>
      <c r="AD153" s="22"/>
      <c r="AE153" s="22"/>
      <c r="AF153" s="22"/>
      <c r="AG153" s="22"/>
      <c r="AH153" s="127"/>
    </row>
    <row r="154" spans="6:34" x14ac:dyDescent="0.2">
      <c r="F154" s="1"/>
      <c r="N154" s="127"/>
      <c r="O154" s="22"/>
      <c r="P154" s="22"/>
      <c r="Q154" s="22"/>
      <c r="R154" s="22"/>
      <c r="S154" s="22"/>
      <c r="T154" s="127"/>
      <c r="U154" s="127"/>
      <c r="V154" s="22"/>
      <c r="W154" s="22"/>
      <c r="X154" s="22"/>
      <c r="Y154" s="22"/>
      <c r="Z154" s="22"/>
      <c r="AA154" s="127"/>
      <c r="AB154" s="127"/>
      <c r="AC154" s="22"/>
      <c r="AD154" s="22"/>
      <c r="AE154" s="22"/>
      <c r="AF154" s="22"/>
      <c r="AG154" s="22"/>
      <c r="AH154" s="127"/>
    </row>
    <row r="155" spans="6:34" x14ac:dyDescent="0.2">
      <c r="F155" s="1"/>
      <c r="N155" s="127"/>
      <c r="O155" s="22"/>
      <c r="P155" s="22"/>
      <c r="Q155" s="22"/>
      <c r="R155" s="22"/>
      <c r="S155" s="22"/>
      <c r="T155" s="127"/>
      <c r="U155" s="127"/>
      <c r="V155" s="22"/>
      <c r="W155" s="22"/>
      <c r="X155" s="22"/>
      <c r="Y155" s="22"/>
      <c r="Z155" s="22"/>
      <c r="AA155" s="127"/>
      <c r="AB155" s="127"/>
      <c r="AC155" s="22"/>
      <c r="AD155" s="22"/>
      <c r="AE155" s="22"/>
      <c r="AF155" s="22"/>
      <c r="AG155" s="22"/>
      <c r="AH155" s="127"/>
    </row>
    <row r="156" spans="6:34" x14ac:dyDescent="0.2">
      <c r="F156" s="1"/>
      <c r="N156" s="127"/>
      <c r="O156" s="22"/>
      <c r="P156" s="22"/>
      <c r="Q156" s="22"/>
      <c r="R156" s="22"/>
      <c r="S156" s="22"/>
      <c r="T156" s="127"/>
      <c r="U156" s="127"/>
      <c r="V156" s="22"/>
      <c r="W156" s="22"/>
      <c r="X156" s="22"/>
      <c r="Y156" s="22"/>
      <c r="Z156" s="22"/>
      <c r="AA156" s="127"/>
      <c r="AB156" s="127"/>
      <c r="AC156" s="22"/>
      <c r="AD156" s="22"/>
      <c r="AE156" s="22"/>
      <c r="AF156" s="22"/>
      <c r="AG156" s="22"/>
      <c r="AH156" s="127"/>
    </row>
    <row r="157" spans="6:34" x14ac:dyDescent="0.2">
      <c r="F157" s="1"/>
      <c r="N157" s="127"/>
      <c r="O157" s="22"/>
      <c r="P157" s="22"/>
      <c r="Q157" s="22"/>
      <c r="R157" s="22"/>
      <c r="S157" s="22"/>
      <c r="T157" s="127"/>
      <c r="U157" s="127"/>
      <c r="V157" s="22"/>
      <c r="W157" s="22"/>
      <c r="X157" s="22"/>
      <c r="Y157" s="22"/>
      <c r="Z157" s="22"/>
      <c r="AA157" s="127"/>
      <c r="AB157" s="127"/>
      <c r="AC157" s="22"/>
      <c r="AD157" s="22"/>
      <c r="AE157" s="22"/>
      <c r="AF157" s="22"/>
      <c r="AG157" s="22"/>
      <c r="AH157" s="127"/>
    </row>
    <row r="158" spans="6:34" x14ac:dyDescent="0.2">
      <c r="F158" s="1"/>
      <c r="N158" s="127"/>
      <c r="O158" s="22"/>
      <c r="P158" s="22"/>
      <c r="Q158" s="22"/>
      <c r="R158" s="22"/>
      <c r="S158" s="22"/>
      <c r="T158" s="127"/>
      <c r="U158" s="127"/>
      <c r="V158" s="22"/>
      <c r="W158" s="22"/>
      <c r="X158" s="22"/>
      <c r="Y158" s="22"/>
      <c r="Z158" s="22"/>
      <c r="AA158" s="127"/>
      <c r="AB158" s="127"/>
      <c r="AC158" s="22"/>
      <c r="AD158" s="22"/>
      <c r="AE158" s="22"/>
      <c r="AF158" s="22"/>
      <c r="AG158" s="22"/>
      <c r="AH158" s="127"/>
    </row>
    <row r="159" spans="6:34" x14ac:dyDescent="0.2">
      <c r="F159" s="1"/>
      <c r="N159" s="127"/>
      <c r="O159" s="22"/>
      <c r="P159" s="22"/>
      <c r="Q159" s="22"/>
      <c r="R159" s="22"/>
      <c r="S159" s="22"/>
      <c r="T159" s="127"/>
      <c r="U159" s="127"/>
      <c r="V159" s="22"/>
      <c r="W159" s="22"/>
      <c r="X159" s="22"/>
      <c r="Y159" s="22"/>
      <c r="Z159" s="22"/>
      <c r="AA159" s="127"/>
      <c r="AB159" s="127"/>
      <c r="AC159" s="22"/>
      <c r="AD159" s="22"/>
      <c r="AE159" s="22"/>
      <c r="AF159" s="22"/>
      <c r="AG159" s="22"/>
      <c r="AH159" s="127"/>
    </row>
    <row r="160" spans="6:34" x14ac:dyDescent="0.2">
      <c r="F160" s="1"/>
      <c r="N160" s="127"/>
      <c r="O160" s="22"/>
      <c r="P160" s="22"/>
      <c r="Q160" s="22"/>
      <c r="R160" s="22"/>
      <c r="S160" s="22"/>
      <c r="T160" s="127"/>
      <c r="U160" s="127"/>
      <c r="V160" s="22"/>
      <c r="W160" s="22"/>
      <c r="X160" s="22"/>
      <c r="Y160" s="22"/>
      <c r="Z160" s="22"/>
      <c r="AA160" s="127"/>
      <c r="AB160" s="127"/>
      <c r="AC160" s="22"/>
      <c r="AD160" s="22"/>
      <c r="AE160" s="22"/>
      <c r="AF160" s="22"/>
      <c r="AG160" s="22"/>
      <c r="AH160" s="127"/>
    </row>
    <row r="161" spans="6:34" x14ac:dyDescent="0.2">
      <c r="F161" s="1"/>
      <c r="N161" s="127"/>
      <c r="O161" s="22"/>
      <c r="P161" s="22"/>
      <c r="Q161" s="22"/>
      <c r="R161" s="22"/>
      <c r="S161" s="22"/>
      <c r="T161" s="127"/>
      <c r="U161" s="127"/>
      <c r="V161" s="22"/>
      <c r="W161" s="22"/>
      <c r="X161" s="22"/>
      <c r="Y161" s="22"/>
      <c r="Z161" s="22"/>
      <c r="AA161" s="127"/>
      <c r="AB161" s="127"/>
      <c r="AC161" s="22"/>
      <c r="AD161" s="22"/>
      <c r="AE161" s="22"/>
      <c r="AF161" s="22"/>
      <c r="AG161" s="22"/>
      <c r="AH161" s="127"/>
    </row>
    <row r="162" spans="6:34" x14ac:dyDescent="0.2">
      <c r="F162" s="1"/>
      <c r="N162" s="127"/>
      <c r="O162" s="22"/>
      <c r="P162" s="22"/>
      <c r="Q162" s="22"/>
      <c r="R162" s="22"/>
      <c r="S162" s="22"/>
      <c r="T162" s="127"/>
      <c r="U162" s="127"/>
      <c r="V162" s="22"/>
      <c r="W162" s="22"/>
      <c r="X162" s="22"/>
      <c r="Y162" s="22"/>
      <c r="Z162" s="22"/>
      <c r="AA162" s="127"/>
      <c r="AB162" s="127"/>
      <c r="AC162" s="22"/>
      <c r="AD162" s="22"/>
      <c r="AE162" s="22"/>
      <c r="AF162" s="22"/>
      <c r="AG162" s="22"/>
      <c r="AH162" s="127"/>
    </row>
    <row r="163" spans="6:34" x14ac:dyDescent="0.2">
      <c r="F163" s="1"/>
      <c r="N163" s="127"/>
      <c r="O163" s="22"/>
      <c r="P163" s="22"/>
      <c r="Q163" s="22"/>
      <c r="R163" s="22"/>
      <c r="S163" s="22"/>
      <c r="T163" s="127"/>
      <c r="U163" s="127"/>
      <c r="V163" s="22"/>
      <c r="W163" s="22"/>
      <c r="X163" s="22"/>
      <c r="Y163" s="22"/>
      <c r="Z163" s="22"/>
      <c r="AA163" s="127"/>
      <c r="AB163" s="127"/>
      <c r="AC163" s="22"/>
      <c r="AD163" s="22"/>
      <c r="AE163" s="22"/>
      <c r="AF163" s="22"/>
      <c r="AG163" s="22"/>
      <c r="AH163" s="127"/>
    </row>
    <row r="164" spans="6:34" x14ac:dyDescent="0.2">
      <c r="F164" s="1"/>
      <c r="N164" s="127"/>
      <c r="O164" s="22"/>
      <c r="P164" s="22"/>
      <c r="Q164" s="22"/>
      <c r="R164" s="22"/>
      <c r="S164" s="22"/>
      <c r="T164" s="127"/>
      <c r="U164" s="127"/>
      <c r="V164" s="22"/>
      <c r="W164" s="22"/>
      <c r="X164" s="22"/>
      <c r="Y164" s="22"/>
      <c r="Z164" s="22"/>
      <c r="AA164" s="127"/>
      <c r="AB164" s="127"/>
      <c r="AC164" s="22"/>
      <c r="AD164" s="22"/>
      <c r="AE164" s="22"/>
      <c r="AF164" s="22"/>
      <c r="AG164" s="22"/>
      <c r="AH164" s="127"/>
    </row>
    <row r="165" spans="6:34" x14ac:dyDescent="0.2">
      <c r="F165" s="1"/>
      <c r="N165" s="127"/>
      <c r="O165" s="22"/>
      <c r="P165" s="22"/>
      <c r="Q165" s="22"/>
      <c r="R165" s="22"/>
      <c r="S165" s="22"/>
      <c r="T165" s="127"/>
      <c r="U165" s="127"/>
      <c r="V165" s="22"/>
      <c r="W165" s="22"/>
      <c r="X165" s="22"/>
      <c r="Y165" s="22"/>
      <c r="Z165" s="22"/>
      <c r="AA165" s="127"/>
      <c r="AB165" s="127"/>
      <c r="AC165" s="22"/>
      <c r="AD165" s="22"/>
      <c r="AE165" s="22"/>
      <c r="AF165" s="22"/>
      <c r="AG165" s="22"/>
      <c r="AH165" s="127"/>
    </row>
    <row r="166" spans="6:34" x14ac:dyDescent="0.2">
      <c r="F166" s="1"/>
      <c r="N166" s="127"/>
      <c r="O166" s="22"/>
      <c r="P166" s="22"/>
      <c r="Q166" s="22"/>
      <c r="R166" s="22"/>
      <c r="S166" s="22"/>
      <c r="T166" s="127"/>
      <c r="U166" s="127"/>
      <c r="V166" s="22"/>
      <c r="W166" s="22"/>
      <c r="X166" s="22"/>
      <c r="Y166" s="22"/>
      <c r="Z166" s="22"/>
      <c r="AA166" s="127"/>
      <c r="AB166" s="127"/>
      <c r="AC166" s="22"/>
      <c r="AD166" s="22"/>
      <c r="AE166" s="22"/>
      <c r="AF166" s="22"/>
      <c r="AG166" s="22"/>
      <c r="AH166" s="127"/>
    </row>
    <row r="167" spans="6:34" x14ac:dyDescent="0.2">
      <c r="F167" s="1"/>
      <c r="N167" s="127"/>
      <c r="O167" s="22"/>
      <c r="P167" s="22"/>
      <c r="Q167" s="22"/>
      <c r="R167" s="22"/>
      <c r="S167" s="22"/>
      <c r="T167" s="127"/>
      <c r="U167" s="127"/>
      <c r="V167" s="22"/>
      <c r="W167" s="22"/>
      <c r="X167" s="22"/>
      <c r="Y167" s="22"/>
      <c r="Z167" s="22"/>
      <c r="AA167" s="127"/>
      <c r="AB167" s="127"/>
      <c r="AC167" s="22"/>
      <c r="AD167" s="22"/>
      <c r="AE167" s="22"/>
      <c r="AF167" s="22"/>
      <c r="AG167" s="22"/>
      <c r="AH167" s="127"/>
    </row>
    <row r="168" spans="6:34" x14ac:dyDescent="0.2">
      <c r="F168" s="1"/>
      <c r="N168" s="127"/>
      <c r="O168" s="22"/>
      <c r="P168" s="22"/>
      <c r="Q168" s="22"/>
      <c r="R168" s="22"/>
      <c r="S168" s="22"/>
      <c r="T168" s="127"/>
      <c r="U168" s="127"/>
      <c r="V168" s="22"/>
      <c r="W168" s="22"/>
      <c r="X168" s="22"/>
      <c r="Y168" s="22"/>
      <c r="Z168" s="22"/>
      <c r="AA168" s="127"/>
      <c r="AB168" s="127"/>
      <c r="AC168" s="22"/>
      <c r="AD168" s="22"/>
      <c r="AE168" s="22"/>
      <c r="AF168" s="22"/>
      <c r="AG168" s="22"/>
      <c r="AH168" s="127"/>
    </row>
    <row r="169" spans="6:34" x14ac:dyDescent="0.2">
      <c r="F169" s="1"/>
      <c r="N169" s="127"/>
      <c r="O169" s="22"/>
      <c r="P169" s="22"/>
      <c r="Q169" s="22"/>
      <c r="R169" s="22"/>
      <c r="S169" s="22"/>
      <c r="T169" s="127"/>
      <c r="U169" s="127"/>
      <c r="V169" s="22"/>
      <c r="W169" s="22"/>
      <c r="X169" s="22"/>
      <c r="Y169" s="22"/>
      <c r="Z169" s="22"/>
      <c r="AA169" s="127"/>
      <c r="AB169" s="127"/>
      <c r="AC169" s="22"/>
      <c r="AD169" s="22"/>
      <c r="AE169" s="22"/>
      <c r="AF169" s="22"/>
      <c r="AG169" s="22"/>
      <c r="AH169" s="127"/>
    </row>
    <row r="170" spans="6:34" x14ac:dyDescent="0.2">
      <c r="F170" s="1"/>
      <c r="N170" s="127"/>
      <c r="O170" s="22"/>
      <c r="P170" s="22"/>
      <c r="Q170" s="22"/>
      <c r="R170" s="22"/>
      <c r="S170" s="22"/>
      <c r="T170" s="127"/>
      <c r="U170" s="127"/>
      <c r="V170" s="22"/>
      <c r="W170" s="22"/>
      <c r="X170" s="22"/>
      <c r="Y170" s="22"/>
      <c r="Z170" s="22"/>
      <c r="AA170" s="127"/>
      <c r="AB170" s="127"/>
      <c r="AC170" s="22"/>
      <c r="AD170" s="22"/>
      <c r="AE170" s="22"/>
      <c r="AF170" s="22"/>
      <c r="AG170" s="22"/>
      <c r="AH170" s="127"/>
    </row>
    <row r="171" spans="6:34" x14ac:dyDescent="0.2">
      <c r="F171" s="1"/>
      <c r="N171" s="127"/>
      <c r="O171" s="22"/>
      <c r="P171" s="22"/>
      <c r="Q171" s="22"/>
      <c r="R171" s="22"/>
      <c r="S171" s="22"/>
      <c r="T171" s="127"/>
      <c r="U171" s="127"/>
      <c r="V171" s="22"/>
      <c r="W171" s="22"/>
      <c r="X171" s="22"/>
      <c r="Y171" s="22"/>
      <c r="Z171" s="22"/>
      <c r="AA171" s="127"/>
      <c r="AB171" s="127"/>
      <c r="AC171" s="22"/>
      <c r="AD171" s="22"/>
      <c r="AE171" s="22"/>
      <c r="AF171" s="22"/>
      <c r="AG171" s="22"/>
      <c r="AH171" s="127"/>
    </row>
    <row r="172" spans="6:34" x14ac:dyDescent="0.2">
      <c r="F172" s="1"/>
      <c r="N172" s="127"/>
      <c r="O172" s="22"/>
      <c r="P172" s="22"/>
      <c r="Q172" s="22"/>
      <c r="R172" s="22"/>
      <c r="S172" s="22"/>
      <c r="T172" s="127"/>
      <c r="U172" s="127"/>
      <c r="V172" s="22"/>
      <c r="W172" s="22"/>
      <c r="X172" s="22"/>
      <c r="Y172" s="22"/>
      <c r="Z172" s="22"/>
      <c r="AA172" s="127"/>
      <c r="AB172" s="127"/>
      <c r="AC172" s="22"/>
      <c r="AD172" s="22"/>
      <c r="AE172" s="22"/>
      <c r="AF172" s="22"/>
      <c r="AG172" s="22"/>
      <c r="AH172" s="127"/>
    </row>
    <row r="173" spans="6:34" x14ac:dyDescent="0.2">
      <c r="F173" s="1"/>
      <c r="N173" s="127"/>
      <c r="O173" s="22"/>
      <c r="P173" s="22"/>
      <c r="Q173" s="22"/>
      <c r="R173" s="22"/>
      <c r="S173" s="22"/>
      <c r="T173" s="127"/>
      <c r="U173" s="127"/>
      <c r="V173" s="22"/>
      <c r="W173" s="22"/>
      <c r="X173" s="22"/>
      <c r="Y173" s="22"/>
      <c r="Z173" s="22"/>
      <c r="AA173" s="127"/>
      <c r="AB173" s="127"/>
      <c r="AC173" s="22"/>
      <c r="AD173" s="22"/>
      <c r="AE173" s="22"/>
      <c r="AF173" s="22"/>
      <c r="AG173" s="22"/>
      <c r="AH173" s="127"/>
    </row>
    <row r="174" spans="6:34" x14ac:dyDescent="0.2">
      <c r="F174" s="1"/>
      <c r="N174" s="127"/>
      <c r="O174" s="22"/>
      <c r="P174" s="22"/>
      <c r="Q174" s="22"/>
      <c r="R174" s="22"/>
      <c r="S174" s="22"/>
      <c r="T174" s="127"/>
      <c r="U174" s="127"/>
      <c r="V174" s="22"/>
      <c r="W174" s="22"/>
      <c r="X174" s="22"/>
      <c r="Y174" s="22"/>
      <c r="Z174" s="22"/>
      <c r="AA174" s="127"/>
      <c r="AB174" s="127"/>
      <c r="AC174" s="22"/>
      <c r="AD174" s="22"/>
      <c r="AE174" s="22"/>
      <c r="AF174" s="22"/>
      <c r="AG174" s="22"/>
      <c r="AH174" s="127"/>
    </row>
    <row r="175" spans="6:34" x14ac:dyDescent="0.2">
      <c r="F175" s="1"/>
      <c r="N175" s="127"/>
      <c r="O175" s="22"/>
      <c r="P175" s="22"/>
      <c r="Q175" s="22"/>
      <c r="R175" s="22"/>
      <c r="S175" s="22"/>
      <c r="T175" s="127"/>
      <c r="U175" s="127"/>
      <c r="V175" s="22"/>
      <c r="W175" s="22"/>
      <c r="X175" s="22"/>
      <c r="Y175" s="22"/>
      <c r="Z175" s="22"/>
      <c r="AA175" s="127"/>
      <c r="AB175" s="127"/>
      <c r="AC175" s="22"/>
      <c r="AD175" s="22"/>
      <c r="AE175" s="22"/>
      <c r="AF175" s="22"/>
      <c r="AG175" s="22"/>
      <c r="AH175" s="127"/>
    </row>
    <row r="176" spans="6:34" x14ac:dyDescent="0.2">
      <c r="F176" s="1"/>
      <c r="N176" s="127"/>
      <c r="O176" s="22"/>
      <c r="P176" s="22"/>
      <c r="Q176" s="22"/>
      <c r="R176" s="22"/>
      <c r="S176" s="22"/>
      <c r="T176" s="127"/>
      <c r="U176" s="127"/>
      <c r="V176" s="22"/>
      <c r="W176" s="22"/>
      <c r="X176" s="22"/>
      <c r="Y176" s="22"/>
      <c r="Z176" s="22"/>
      <c r="AA176" s="127"/>
      <c r="AB176" s="127"/>
      <c r="AC176" s="22"/>
      <c r="AD176" s="22"/>
      <c r="AE176" s="22"/>
      <c r="AF176" s="22"/>
      <c r="AG176" s="22"/>
      <c r="AH176" s="127"/>
    </row>
    <row r="177" spans="6:34" x14ac:dyDescent="0.2">
      <c r="F177" s="1"/>
      <c r="N177" s="127"/>
      <c r="O177" s="22"/>
      <c r="P177" s="22"/>
      <c r="Q177" s="22"/>
      <c r="R177" s="22"/>
      <c r="S177" s="22"/>
      <c r="T177" s="127"/>
      <c r="U177" s="127"/>
      <c r="V177" s="22"/>
      <c r="W177" s="22"/>
      <c r="X177" s="22"/>
      <c r="Y177" s="22"/>
      <c r="Z177" s="22"/>
      <c r="AA177" s="127"/>
      <c r="AB177" s="127"/>
      <c r="AC177" s="22"/>
      <c r="AD177" s="22"/>
      <c r="AE177" s="22"/>
      <c r="AF177" s="22"/>
      <c r="AG177" s="22"/>
      <c r="AH177" s="127"/>
    </row>
    <row r="178" spans="6:34" x14ac:dyDescent="0.2">
      <c r="F178" s="1"/>
      <c r="N178" s="127"/>
      <c r="O178" s="22"/>
      <c r="P178" s="22"/>
      <c r="Q178" s="22"/>
      <c r="R178" s="22"/>
      <c r="S178" s="22"/>
      <c r="T178" s="127"/>
      <c r="U178" s="127"/>
      <c r="V178" s="22"/>
      <c r="W178" s="22"/>
      <c r="X178" s="22"/>
      <c r="Y178" s="22"/>
      <c r="Z178" s="22"/>
      <c r="AA178" s="127"/>
      <c r="AB178" s="127"/>
      <c r="AC178" s="22"/>
      <c r="AD178" s="22"/>
      <c r="AE178" s="22"/>
      <c r="AF178" s="22"/>
      <c r="AG178" s="22"/>
      <c r="AH178" s="127"/>
    </row>
    <row r="179" spans="6:34" x14ac:dyDescent="0.2">
      <c r="F179" s="1"/>
      <c r="N179" s="127"/>
      <c r="O179" s="22"/>
      <c r="P179" s="22"/>
      <c r="Q179" s="22"/>
      <c r="R179" s="22"/>
      <c r="S179" s="22"/>
      <c r="T179" s="127"/>
      <c r="U179" s="127"/>
      <c r="V179" s="22"/>
      <c r="W179" s="22"/>
      <c r="X179" s="22"/>
      <c r="Y179" s="22"/>
      <c r="Z179" s="22"/>
      <c r="AA179" s="127"/>
      <c r="AB179" s="127"/>
      <c r="AC179" s="22"/>
      <c r="AD179" s="22"/>
      <c r="AE179" s="22"/>
      <c r="AF179" s="22"/>
      <c r="AG179" s="22"/>
      <c r="AH179" s="127"/>
    </row>
    <row r="180" spans="6:34" x14ac:dyDescent="0.2">
      <c r="F180" s="1"/>
      <c r="N180" s="127"/>
      <c r="O180" s="22"/>
      <c r="P180" s="22"/>
      <c r="Q180" s="22"/>
      <c r="R180" s="22"/>
      <c r="S180" s="22"/>
      <c r="T180" s="127"/>
      <c r="U180" s="127"/>
      <c r="V180" s="22"/>
      <c r="W180" s="22"/>
      <c r="X180" s="22"/>
      <c r="Y180" s="22"/>
      <c r="Z180" s="22"/>
      <c r="AA180" s="127"/>
      <c r="AB180" s="127"/>
      <c r="AC180" s="22"/>
      <c r="AD180" s="22"/>
      <c r="AE180" s="22"/>
      <c r="AF180" s="22"/>
      <c r="AG180" s="22"/>
      <c r="AH180" s="127"/>
    </row>
    <row r="181" spans="6:34" x14ac:dyDescent="0.2">
      <c r="F181" s="1"/>
      <c r="N181" s="127"/>
      <c r="O181" s="22"/>
      <c r="P181" s="22"/>
      <c r="Q181" s="22"/>
      <c r="R181" s="22"/>
      <c r="S181" s="22"/>
      <c r="T181" s="127"/>
      <c r="U181" s="127"/>
      <c r="V181" s="22"/>
      <c r="W181" s="22"/>
      <c r="X181" s="22"/>
      <c r="Y181" s="22"/>
      <c r="Z181" s="22"/>
      <c r="AA181" s="127"/>
      <c r="AB181" s="127"/>
      <c r="AC181" s="22"/>
      <c r="AD181" s="22"/>
      <c r="AE181" s="22"/>
      <c r="AF181" s="22"/>
      <c r="AG181" s="22"/>
      <c r="AH181" s="127"/>
    </row>
    <row r="182" spans="6:34" x14ac:dyDescent="0.2">
      <c r="F182" s="1"/>
      <c r="N182" s="127"/>
      <c r="O182" s="22"/>
      <c r="P182" s="22"/>
      <c r="Q182" s="22"/>
      <c r="R182" s="22"/>
      <c r="S182" s="22"/>
      <c r="T182" s="127"/>
      <c r="U182" s="127"/>
      <c r="V182" s="22"/>
      <c r="W182" s="22"/>
      <c r="X182" s="22"/>
      <c r="Y182" s="22"/>
      <c r="Z182" s="22"/>
      <c r="AA182" s="127"/>
      <c r="AB182" s="127"/>
      <c r="AC182" s="22"/>
      <c r="AD182" s="22"/>
      <c r="AE182" s="22"/>
      <c r="AF182" s="22"/>
      <c r="AG182" s="22"/>
      <c r="AH182" s="127"/>
    </row>
    <row r="183" spans="6:34" x14ac:dyDescent="0.2">
      <c r="F183" s="1"/>
      <c r="N183" s="127"/>
      <c r="O183" s="22"/>
      <c r="P183" s="22"/>
      <c r="Q183" s="22"/>
      <c r="R183" s="22"/>
      <c r="S183" s="22"/>
      <c r="T183" s="127"/>
      <c r="U183" s="127"/>
      <c r="V183" s="22"/>
      <c r="W183" s="22"/>
      <c r="X183" s="22"/>
      <c r="Y183" s="22"/>
      <c r="Z183" s="22"/>
      <c r="AA183" s="127"/>
      <c r="AB183" s="127"/>
      <c r="AC183" s="22"/>
      <c r="AD183" s="22"/>
      <c r="AE183" s="22"/>
      <c r="AF183" s="22"/>
      <c r="AG183" s="22"/>
      <c r="AH183" s="127"/>
    </row>
    <row r="184" spans="6:34" x14ac:dyDescent="0.2">
      <c r="F184" s="1"/>
      <c r="N184" s="127"/>
      <c r="O184" s="22"/>
      <c r="P184" s="22"/>
      <c r="Q184" s="22"/>
      <c r="R184" s="22"/>
      <c r="S184" s="22"/>
      <c r="T184" s="127"/>
      <c r="U184" s="127"/>
      <c r="V184" s="22"/>
      <c r="W184" s="22"/>
      <c r="X184" s="22"/>
      <c r="Y184" s="22"/>
      <c r="Z184" s="22"/>
      <c r="AA184" s="127"/>
      <c r="AB184" s="127"/>
      <c r="AC184" s="22"/>
      <c r="AD184" s="22"/>
      <c r="AE184" s="22"/>
      <c r="AF184" s="22"/>
      <c r="AG184" s="22"/>
      <c r="AH184" s="127"/>
    </row>
    <row r="185" spans="6:34" x14ac:dyDescent="0.2">
      <c r="F185" s="1"/>
      <c r="N185" s="127"/>
      <c r="O185" s="22"/>
      <c r="P185" s="22"/>
      <c r="Q185" s="22"/>
      <c r="R185" s="22"/>
      <c r="S185" s="22"/>
      <c r="T185" s="127"/>
      <c r="U185" s="127"/>
      <c r="V185" s="22"/>
      <c r="W185" s="22"/>
      <c r="X185" s="22"/>
      <c r="Y185" s="22"/>
      <c r="Z185" s="22"/>
      <c r="AA185" s="127"/>
      <c r="AB185" s="127"/>
      <c r="AC185" s="22"/>
      <c r="AD185" s="22"/>
      <c r="AE185" s="22"/>
      <c r="AF185" s="22"/>
      <c r="AG185" s="22"/>
      <c r="AH185" s="127"/>
    </row>
    <row r="186" spans="6:34" x14ac:dyDescent="0.2">
      <c r="F186" s="1"/>
      <c r="N186" s="127"/>
      <c r="O186" s="22"/>
      <c r="P186" s="22"/>
      <c r="Q186" s="22"/>
      <c r="R186" s="22"/>
      <c r="S186" s="22"/>
      <c r="T186" s="127"/>
      <c r="U186" s="127"/>
      <c r="V186" s="22"/>
      <c r="W186" s="22"/>
      <c r="X186" s="22"/>
      <c r="Y186" s="22"/>
      <c r="Z186" s="22"/>
      <c r="AA186" s="127"/>
      <c r="AB186" s="127"/>
      <c r="AC186" s="22"/>
      <c r="AD186" s="22"/>
      <c r="AE186" s="22"/>
      <c r="AF186" s="22"/>
      <c r="AG186" s="22"/>
      <c r="AH186" s="127"/>
    </row>
    <row r="187" spans="6:34" x14ac:dyDescent="0.2">
      <c r="F187" s="1"/>
      <c r="N187" s="127"/>
      <c r="O187" s="22"/>
      <c r="P187" s="22"/>
      <c r="Q187" s="22"/>
      <c r="R187" s="22"/>
      <c r="S187" s="22"/>
      <c r="T187" s="127"/>
      <c r="U187" s="127"/>
      <c r="V187" s="22"/>
      <c r="W187" s="22"/>
      <c r="X187" s="22"/>
      <c r="Y187" s="22"/>
      <c r="Z187" s="22"/>
      <c r="AA187" s="127"/>
      <c r="AB187" s="127"/>
      <c r="AC187" s="22"/>
      <c r="AD187" s="22"/>
      <c r="AE187" s="22"/>
      <c r="AF187" s="22"/>
      <c r="AG187" s="22"/>
      <c r="AH187" s="127"/>
    </row>
    <row r="188" spans="6:34" x14ac:dyDescent="0.2">
      <c r="F188" s="1"/>
      <c r="N188" s="127"/>
      <c r="O188" s="22"/>
      <c r="P188" s="22"/>
      <c r="Q188" s="22"/>
      <c r="R188" s="22"/>
      <c r="S188" s="22"/>
      <c r="T188" s="127"/>
      <c r="U188" s="127"/>
      <c r="V188" s="22"/>
      <c r="W188" s="22"/>
      <c r="X188" s="22"/>
      <c r="Y188" s="22"/>
      <c r="Z188" s="22"/>
      <c r="AA188" s="127"/>
      <c r="AB188" s="127"/>
      <c r="AC188" s="22"/>
      <c r="AD188" s="22"/>
      <c r="AE188" s="22"/>
      <c r="AF188" s="22"/>
      <c r="AG188" s="22"/>
      <c r="AH188" s="127"/>
    </row>
    <row r="189" spans="6:34" x14ac:dyDescent="0.2">
      <c r="F189" s="1"/>
      <c r="N189" s="127"/>
      <c r="O189" s="22"/>
      <c r="P189" s="22"/>
      <c r="Q189" s="22"/>
      <c r="R189" s="22"/>
      <c r="S189" s="22"/>
      <c r="T189" s="127"/>
      <c r="U189" s="127"/>
      <c r="V189" s="22"/>
      <c r="W189" s="22"/>
      <c r="X189" s="22"/>
      <c r="Y189" s="22"/>
      <c r="Z189" s="22"/>
      <c r="AA189" s="127"/>
      <c r="AB189" s="127"/>
      <c r="AC189" s="22"/>
      <c r="AD189" s="22"/>
      <c r="AE189" s="22"/>
      <c r="AF189" s="22"/>
      <c r="AG189" s="22"/>
      <c r="AH189" s="127"/>
    </row>
    <row r="190" spans="6:34" x14ac:dyDescent="0.2">
      <c r="F190" s="1"/>
      <c r="N190" s="127"/>
      <c r="O190" s="22"/>
      <c r="P190" s="22"/>
      <c r="Q190" s="22"/>
      <c r="R190" s="22"/>
      <c r="S190" s="22"/>
      <c r="T190" s="127"/>
      <c r="U190" s="127"/>
      <c r="V190" s="22"/>
      <c r="W190" s="22"/>
      <c r="X190" s="22"/>
      <c r="Y190" s="22"/>
      <c r="Z190" s="22"/>
      <c r="AA190" s="127"/>
      <c r="AB190" s="127"/>
      <c r="AC190" s="22"/>
      <c r="AD190" s="22"/>
      <c r="AE190" s="22"/>
      <c r="AF190" s="22"/>
      <c r="AG190" s="22"/>
      <c r="AH190" s="127"/>
    </row>
    <row r="191" spans="6:34" x14ac:dyDescent="0.2">
      <c r="F191" s="1"/>
      <c r="N191" s="127"/>
      <c r="O191" s="22"/>
      <c r="P191" s="22"/>
      <c r="Q191" s="22"/>
      <c r="R191" s="22"/>
      <c r="S191" s="22"/>
      <c r="T191" s="127"/>
      <c r="U191" s="127"/>
      <c r="V191" s="22"/>
      <c r="W191" s="22"/>
      <c r="X191" s="22"/>
      <c r="Y191" s="22"/>
      <c r="Z191" s="22"/>
      <c r="AA191" s="127"/>
      <c r="AB191" s="127"/>
      <c r="AC191" s="22"/>
      <c r="AD191" s="22"/>
      <c r="AE191" s="22"/>
      <c r="AF191" s="22"/>
      <c r="AG191" s="22"/>
      <c r="AH191" s="127"/>
    </row>
    <row r="192" spans="6:34" x14ac:dyDescent="0.2">
      <c r="F192" s="1"/>
      <c r="N192" s="127"/>
      <c r="O192" s="22"/>
      <c r="P192" s="22"/>
      <c r="Q192" s="22"/>
      <c r="R192" s="22"/>
      <c r="S192" s="22"/>
      <c r="T192" s="127"/>
      <c r="U192" s="127"/>
      <c r="V192" s="22"/>
      <c r="W192" s="22"/>
      <c r="X192" s="22"/>
      <c r="Y192" s="22"/>
      <c r="Z192" s="22"/>
      <c r="AA192" s="127"/>
      <c r="AB192" s="127"/>
      <c r="AC192" s="22"/>
      <c r="AD192" s="22"/>
      <c r="AE192" s="22"/>
      <c r="AF192" s="22"/>
      <c r="AG192" s="22"/>
      <c r="AH192" s="127"/>
    </row>
    <row r="193" spans="6:34" x14ac:dyDescent="0.2">
      <c r="F193" s="1"/>
      <c r="N193" s="127"/>
      <c r="O193" s="22"/>
      <c r="P193" s="22"/>
      <c r="Q193" s="22"/>
      <c r="R193" s="22"/>
      <c r="S193" s="22"/>
      <c r="T193" s="127"/>
      <c r="U193" s="127"/>
      <c r="V193" s="22"/>
      <c r="W193" s="22"/>
      <c r="X193" s="22"/>
      <c r="Y193" s="22"/>
      <c r="Z193" s="22"/>
      <c r="AA193" s="127"/>
      <c r="AB193" s="127"/>
      <c r="AC193" s="22"/>
      <c r="AD193" s="22"/>
      <c r="AE193" s="22"/>
      <c r="AF193" s="22"/>
      <c r="AG193" s="22"/>
      <c r="AH193" s="127"/>
    </row>
    <row r="194" spans="6:34" x14ac:dyDescent="0.2">
      <c r="F194" s="1"/>
      <c r="N194" s="127"/>
      <c r="O194" s="22"/>
      <c r="P194" s="22"/>
      <c r="Q194" s="22"/>
      <c r="R194" s="22"/>
      <c r="S194" s="22"/>
      <c r="T194" s="127"/>
      <c r="U194" s="127"/>
      <c r="V194" s="22"/>
      <c r="W194" s="22"/>
      <c r="X194" s="22"/>
      <c r="Y194" s="22"/>
      <c r="Z194" s="22"/>
      <c r="AA194" s="127"/>
      <c r="AB194" s="127"/>
      <c r="AC194" s="22"/>
      <c r="AD194" s="22"/>
      <c r="AE194" s="22"/>
      <c r="AF194" s="22"/>
      <c r="AG194" s="22"/>
      <c r="AH194" s="127"/>
    </row>
    <row r="195" spans="6:34" x14ac:dyDescent="0.2">
      <c r="F195" s="1"/>
      <c r="N195" s="127"/>
      <c r="O195" s="22"/>
      <c r="P195" s="22"/>
      <c r="Q195" s="22"/>
      <c r="R195" s="22"/>
      <c r="S195" s="22"/>
      <c r="T195" s="127"/>
      <c r="U195" s="127"/>
      <c r="V195" s="22"/>
      <c r="W195" s="22"/>
      <c r="X195" s="22"/>
      <c r="Y195" s="22"/>
      <c r="Z195" s="22"/>
      <c r="AA195" s="127"/>
      <c r="AB195" s="127"/>
      <c r="AC195" s="22"/>
      <c r="AD195" s="22"/>
      <c r="AE195" s="22"/>
      <c r="AF195" s="22"/>
      <c r="AG195" s="22"/>
      <c r="AH195" s="127"/>
    </row>
    <row r="196" spans="6:34" x14ac:dyDescent="0.2">
      <c r="F196" s="1"/>
      <c r="N196" s="127"/>
      <c r="O196" s="22"/>
      <c r="P196" s="22"/>
      <c r="Q196" s="22"/>
      <c r="R196" s="22"/>
      <c r="S196" s="22"/>
      <c r="T196" s="127"/>
      <c r="U196" s="127"/>
      <c r="V196" s="22"/>
      <c r="W196" s="22"/>
      <c r="X196" s="22"/>
      <c r="Y196" s="22"/>
      <c r="Z196" s="22"/>
      <c r="AA196" s="127"/>
      <c r="AB196" s="127"/>
      <c r="AC196" s="22"/>
      <c r="AD196" s="22"/>
      <c r="AE196" s="22"/>
      <c r="AF196" s="22"/>
      <c r="AG196" s="22"/>
      <c r="AH196" s="127"/>
    </row>
    <row r="197" spans="6:34" x14ac:dyDescent="0.2">
      <c r="F197" s="1"/>
      <c r="N197" s="127"/>
      <c r="O197" s="22"/>
      <c r="P197" s="22"/>
      <c r="Q197" s="22"/>
      <c r="R197" s="22"/>
      <c r="S197" s="22"/>
      <c r="T197" s="127"/>
      <c r="U197" s="127"/>
      <c r="V197" s="22"/>
      <c r="W197" s="22"/>
      <c r="X197" s="22"/>
      <c r="Y197" s="22"/>
      <c r="Z197" s="22"/>
      <c r="AA197" s="127"/>
      <c r="AB197" s="127"/>
      <c r="AC197" s="22"/>
      <c r="AD197" s="22"/>
      <c r="AE197" s="22"/>
      <c r="AF197" s="22"/>
      <c r="AG197" s="22"/>
      <c r="AH197" s="127"/>
    </row>
    <row r="198" spans="6:34" x14ac:dyDescent="0.2">
      <c r="F198" s="1"/>
      <c r="N198" s="127"/>
      <c r="O198" s="22"/>
      <c r="P198" s="22"/>
      <c r="Q198" s="22"/>
      <c r="R198" s="22"/>
      <c r="S198" s="22"/>
      <c r="T198" s="127"/>
      <c r="U198" s="127"/>
      <c r="V198" s="22"/>
      <c r="W198" s="22"/>
      <c r="X198" s="22"/>
      <c r="Y198" s="22"/>
      <c r="Z198" s="22"/>
      <c r="AA198" s="127"/>
      <c r="AB198" s="127"/>
      <c r="AC198" s="22"/>
      <c r="AD198" s="22"/>
      <c r="AE198" s="22"/>
      <c r="AF198" s="22"/>
      <c r="AG198" s="22"/>
      <c r="AH198" s="127"/>
    </row>
    <row r="199" spans="6:34" x14ac:dyDescent="0.2">
      <c r="F199" s="1"/>
      <c r="N199" s="127"/>
      <c r="O199" s="22"/>
      <c r="P199" s="22"/>
      <c r="Q199" s="22"/>
      <c r="R199" s="22"/>
      <c r="S199" s="22"/>
      <c r="T199" s="127"/>
      <c r="U199" s="127"/>
      <c r="V199" s="22"/>
      <c r="W199" s="22"/>
      <c r="X199" s="22"/>
      <c r="Y199" s="22"/>
      <c r="Z199" s="22"/>
      <c r="AA199" s="127"/>
      <c r="AB199" s="127"/>
      <c r="AC199" s="22"/>
      <c r="AD199" s="22"/>
      <c r="AE199" s="22"/>
      <c r="AF199" s="22"/>
      <c r="AG199" s="22"/>
      <c r="AH199" s="127"/>
    </row>
    <row r="200" spans="6:34" x14ac:dyDescent="0.2">
      <c r="F200" s="1"/>
      <c r="N200" s="127"/>
      <c r="O200" s="22"/>
      <c r="P200" s="22"/>
      <c r="Q200" s="22"/>
      <c r="R200" s="22"/>
      <c r="S200" s="22"/>
      <c r="T200" s="127"/>
      <c r="U200" s="127"/>
      <c r="V200" s="22"/>
      <c r="W200" s="22"/>
      <c r="X200" s="22"/>
      <c r="Y200" s="22"/>
      <c r="Z200" s="22"/>
      <c r="AA200" s="127"/>
      <c r="AB200" s="127"/>
      <c r="AC200" s="22"/>
      <c r="AD200" s="22"/>
      <c r="AE200" s="22"/>
      <c r="AF200" s="22"/>
      <c r="AG200" s="22"/>
      <c r="AH200" s="127"/>
    </row>
    <row r="201" spans="6:34" x14ac:dyDescent="0.2">
      <c r="F201" s="1"/>
      <c r="N201" s="127"/>
      <c r="O201" s="22"/>
      <c r="P201" s="22"/>
      <c r="Q201" s="22"/>
      <c r="R201" s="22"/>
      <c r="S201" s="22"/>
      <c r="T201" s="127"/>
      <c r="U201" s="127"/>
      <c r="V201" s="22"/>
      <c r="W201" s="22"/>
      <c r="X201" s="22"/>
      <c r="Y201" s="22"/>
      <c r="Z201" s="22"/>
      <c r="AA201" s="127"/>
      <c r="AB201" s="127"/>
      <c r="AC201" s="22"/>
      <c r="AD201" s="22"/>
      <c r="AE201" s="22"/>
      <c r="AF201" s="22"/>
      <c r="AG201" s="22"/>
      <c r="AH201" s="127"/>
    </row>
    <row r="202" spans="6:34" x14ac:dyDescent="0.2">
      <c r="F202" s="1"/>
      <c r="N202" s="127"/>
      <c r="O202" s="22"/>
      <c r="P202" s="22"/>
      <c r="Q202" s="22"/>
      <c r="R202" s="22"/>
      <c r="S202" s="22"/>
      <c r="T202" s="127"/>
      <c r="U202" s="127"/>
      <c r="V202" s="22"/>
      <c r="W202" s="22"/>
      <c r="X202" s="22"/>
      <c r="Y202" s="22"/>
      <c r="Z202" s="22"/>
      <c r="AA202" s="127"/>
      <c r="AB202" s="127"/>
      <c r="AC202" s="22"/>
      <c r="AD202" s="22"/>
      <c r="AE202" s="22"/>
      <c r="AF202" s="22"/>
      <c r="AG202" s="22"/>
      <c r="AH202" s="127"/>
    </row>
    <row r="203" spans="6:34" x14ac:dyDescent="0.2">
      <c r="F203" s="1"/>
      <c r="N203" s="127"/>
      <c r="O203" s="22"/>
      <c r="P203" s="22"/>
      <c r="Q203" s="22"/>
      <c r="R203" s="22"/>
      <c r="S203" s="22"/>
      <c r="T203" s="127"/>
      <c r="U203" s="127"/>
      <c r="V203" s="22"/>
      <c r="W203" s="22"/>
      <c r="X203" s="22"/>
      <c r="Y203" s="22"/>
      <c r="Z203" s="22"/>
      <c r="AA203" s="127"/>
      <c r="AB203" s="127"/>
      <c r="AC203" s="22"/>
      <c r="AD203" s="22"/>
      <c r="AE203" s="22"/>
      <c r="AF203" s="22"/>
      <c r="AG203" s="22"/>
      <c r="AH203" s="127"/>
    </row>
    <row r="204" spans="6:34" x14ac:dyDescent="0.2">
      <c r="F204" s="1"/>
      <c r="N204" s="127"/>
      <c r="O204" s="22"/>
      <c r="P204" s="22"/>
      <c r="Q204" s="22"/>
      <c r="R204" s="22"/>
      <c r="S204" s="22"/>
      <c r="T204" s="127"/>
      <c r="U204" s="127"/>
      <c r="V204" s="22"/>
      <c r="W204" s="22"/>
      <c r="X204" s="22"/>
      <c r="Y204" s="22"/>
      <c r="Z204" s="22"/>
      <c r="AA204" s="127"/>
      <c r="AB204" s="127"/>
      <c r="AC204" s="22"/>
      <c r="AD204" s="22"/>
      <c r="AE204" s="22"/>
      <c r="AF204" s="22"/>
      <c r="AG204" s="22"/>
      <c r="AH204" s="127"/>
    </row>
    <row r="205" spans="6:34" x14ac:dyDescent="0.2">
      <c r="F205" s="1"/>
      <c r="N205" s="127"/>
      <c r="O205" s="22"/>
      <c r="P205" s="22"/>
      <c r="Q205" s="22"/>
      <c r="R205" s="22"/>
      <c r="S205" s="22"/>
      <c r="T205" s="127"/>
      <c r="U205" s="127"/>
      <c r="V205" s="22"/>
      <c r="W205" s="22"/>
      <c r="X205" s="22"/>
      <c r="Y205" s="22"/>
      <c r="Z205" s="22"/>
      <c r="AA205" s="127"/>
      <c r="AB205" s="127"/>
      <c r="AC205" s="22"/>
      <c r="AD205" s="22"/>
      <c r="AE205" s="22"/>
      <c r="AF205" s="22"/>
      <c r="AG205" s="22"/>
      <c r="AH205" s="127"/>
    </row>
    <row r="206" spans="6:34" x14ac:dyDescent="0.2">
      <c r="F206" s="1"/>
      <c r="N206" s="127"/>
      <c r="O206" s="22"/>
      <c r="P206" s="22"/>
      <c r="Q206" s="22"/>
      <c r="R206" s="22"/>
      <c r="S206" s="22"/>
      <c r="T206" s="127"/>
      <c r="U206" s="127"/>
      <c r="V206" s="22"/>
      <c r="W206" s="22"/>
      <c r="X206" s="22"/>
      <c r="Y206" s="22"/>
      <c r="Z206" s="22"/>
      <c r="AA206" s="127"/>
      <c r="AB206" s="127"/>
      <c r="AC206" s="22"/>
      <c r="AD206" s="22"/>
      <c r="AE206" s="22"/>
      <c r="AF206" s="22"/>
      <c r="AG206" s="22"/>
      <c r="AH206" s="127"/>
    </row>
    <row r="207" spans="6:34" x14ac:dyDescent="0.2">
      <c r="F207" s="1"/>
      <c r="N207" s="127"/>
      <c r="O207" s="22"/>
      <c r="P207" s="22"/>
      <c r="Q207" s="22"/>
      <c r="R207" s="22"/>
      <c r="S207" s="22"/>
      <c r="T207" s="127"/>
      <c r="U207" s="127"/>
      <c r="V207" s="22"/>
      <c r="W207" s="22"/>
      <c r="X207" s="22"/>
      <c r="Y207" s="22"/>
      <c r="Z207" s="22"/>
      <c r="AA207" s="127"/>
      <c r="AB207" s="127"/>
      <c r="AC207" s="22"/>
      <c r="AD207" s="22"/>
      <c r="AE207" s="22"/>
      <c r="AF207" s="22"/>
      <c r="AG207" s="22"/>
      <c r="AH207" s="127"/>
    </row>
    <row r="208" spans="6:34" x14ac:dyDescent="0.2">
      <c r="F208" s="1"/>
      <c r="N208" s="127"/>
      <c r="O208" s="22"/>
      <c r="P208" s="22"/>
      <c r="Q208" s="22"/>
      <c r="R208" s="22"/>
      <c r="S208" s="22"/>
      <c r="T208" s="127"/>
      <c r="U208" s="127"/>
      <c r="V208" s="22"/>
      <c r="W208" s="22"/>
      <c r="X208" s="22"/>
      <c r="Y208" s="22"/>
      <c r="Z208" s="22"/>
      <c r="AA208" s="127"/>
      <c r="AB208" s="127"/>
      <c r="AC208" s="22"/>
      <c r="AD208" s="22"/>
      <c r="AE208" s="22"/>
      <c r="AF208" s="22"/>
      <c r="AG208" s="22"/>
      <c r="AH208" s="127"/>
    </row>
    <row r="209" spans="6:34" x14ac:dyDescent="0.2">
      <c r="F209" s="1"/>
      <c r="N209" s="127"/>
      <c r="O209" s="22"/>
      <c r="P209" s="22"/>
      <c r="Q209" s="22"/>
      <c r="R209" s="22"/>
      <c r="S209" s="22"/>
      <c r="T209" s="127"/>
      <c r="U209" s="127"/>
      <c r="V209" s="22"/>
      <c r="W209" s="22"/>
      <c r="X209" s="22"/>
      <c r="Y209" s="22"/>
      <c r="Z209" s="22"/>
      <c r="AA209" s="127"/>
      <c r="AB209" s="127"/>
      <c r="AC209" s="22"/>
      <c r="AD209" s="22"/>
      <c r="AE209" s="22"/>
      <c r="AF209" s="22"/>
      <c r="AG209" s="22"/>
      <c r="AH209" s="127"/>
    </row>
    <row r="210" spans="6:34" x14ac:dyDescent="0.2">
      <c r="F210" s="1"/>
      <c r="N210" s="127"/>
      <c r="O210" s="22"/>
      <c r="P210" s="22"/>
      <c r="Q210" s="22"/>
      <c r="R210" s="22"/>
      <c r="S210" s="22"/>
      <c r="T210" s="127"/>
      <c r="U210" s="127"/>
      <c r="V210" s="22"/>
      <c r="W210" s="22"/>
      <c r="X210" s="22"/>
      <c r="Y210" s="22"/>
      <c r="Z210" s="22"/>
      <c r="AA210" s="127"/>
      <c r="AB210" s="127"/>
      <c r="AC210" s="22"/>
      <c r="AD210" s="22"/>
      <c r="AE210" s="22"/>
      <c r="AF210" s="22"/>
      <c r="AG210" s="22"/>
      <c r="AH210" s="127"/>
    </row>
    <row r="211" spans="6:34" x14ac:dyDescent="0.2">
      <c r="F211" s="1"/>
      <c r="N211" s="127"/>
      <c r="O211" s="22"/>
      <c r="P211" s="22"/>
      <c r="Q211" s="22"/>
      <c r="R211" s="22"/>
      <c r="S211" s="22"/>
      <c r="T211" s="127"/>
      <c r="U211" s="127"/>
      <c r="V211" s="22"/>
      <c r="W211" s="22"/>
      <c r="X211" s="22"/>
      <c r="Y211" s="22"/>
      <c r="Z211" s="22"/>
      <c r="AA211" s="127"/>
      <c r="AB211" s="127"/>
      <c r="AC211" s="22"/>
      <c r="AD211" s="22"/>
      <c r="AE211" s="22"/>
      <c r="AF211" s="22"/>
      <c r="AG211" s="22"/>
      <c r="AH211" s="127"/>
    </row>
    <row r="212" spans="6:34" x14ac:dyDescent="0.2">
      <c r="F212" s="1"/>
      <c r="N212" s="127"/>
      <c r="O212" s="22"/>
      <c r="P212" s="22"/>
      <c r="Q212" s="22"/>
      <c r="R212" s="22"/>
      <c r="S212" s="22"/>
      <c r="T212" s="127"/>
      <c r="U212" s="127"/>
      <c r="V212" s="22"/>
      <c r="W212" s="22"/>
      <c r="X212" s="22"/>
      <c r="Y212" s="22"/>
      <c r="Z212" s="22"/>
      <c r="AA212" s="127"/>
      <c r="AB212" s="127"/>
      <c r="AC212" s="22"/>
      <c r="AD212" s="22"/>
      <c r="AE212" s="22"/>
      <c r="AF212" s="22"/>
      <c r="AG212" s="22"/>
      <c r="AH212" s="127"/>
    </row>
    <row r="213" spans="6:34" x14ac:dyDescent="0.2">
      <c r="F213" s="1"/>
      <c r="N213" s="127"/>
      <c r="O213" s="22"/>
      <c r="P213" s="22"/>
      <c r="Q213" s="22"/>
      <c r="R213" s="22"/>
      <c r="S213" s="22"/>
      <c r="T213" s="127"/>
      <c r="U213" s="127"/>
      <c r="V213" s="22"/>
      <c r="W213" s="22"/>
      <c r="X213" s="22"/>
      <c r="Y213" s="22"/>
      <c r="Z213" s="22"/>
      <c r="AA213" s="127"/>
      <c r="AB213" s="127"/>
      <c r="AC213" s="22"/>
      <c r="AD213" s="22"/>
      <c r="AE213" s="22"/>
      <c r="AF213" s="22"/>
      <c r="AG213" s="22"/>
      <c r="AH213" s="127"/>
    </row>
    <row r="214" spans="6:34" x14ac:dyDescent="0.2">
      <c r="F214" s="1"/>
      <c r="N214" s="127"/>
      <c r="O214" s="22"/>
      <c r="P214" s="22"/>
      <c r="Q214" s="22"/>
      <c r="R214" s="22"/>
      <c r="S214" s="22"/>
      <c r="T214" s="127"/>
      <c r="U214" s="127"/>
      <c r="V214" s="22"/>
      <c r="W214" s="22"/>
      <c r="X214" s="22"/>
      <c r="Y214" s="22"/>
      <c r="Z214" s="22"/>
      <c r="AA214" s="127"/>
      <c r="AB214" s="127"/>
      <c r="AC214" s="22"/>
      <c r="AD214" s="22"/>
      <c r="AE214" s="22"/>
      <c r="AF214" s="22"/>
      <c r="AG214" s="22"/>
      <c r="AH214" s="127"/>
    </row>
    <row r="215" spans="6:34" x14ac:dyDescent="0.2">
      <c r="F215" s="1"/>
      <c r="N215" s="127"/>
      <c r="O215" s="22"/>
      <c r="P215" s="22"/>
      <c r="Q215" s="22"/>
      <c r="R215" s="22"/>
      <c r="S215" s="22"/>
      <c r="T215" s="127"/>
      <c r="U215" s="127"/>
      <c r="V215" s="22"/>
      <c r="W215" s="22"/>
      <c r="X215" s="22"/>
      <c r="Y215" s="22"/>
      <c r="Z215" s="22"/>
      <c r="AA215" s="127"/>
      <c r="AB215" s="127"/>
      <c r="AC215" s="22"/>
      <c r="AD215" s="22"/>
      <c r="AE215" s="22"/>
      <c r="AF215" s="22"/>
      <c r="AG215" s="22"/>
      <c r="AH215" s="127"/>
    </row>
    <row r="216" spans="6:34" x14ac:dyDescent="0.2">
      <c r="F216" s="1"/>
      <c r="N216" s="127"/>
      <c r="O216" s="22"/>
      <c r="P216" s="22"/>
      <c r="Q216" s="22"/>
      <c r="R216" s="22"/>
      <c r="S216" s="22"/>
      <c r="T216" s="127"/>
      <c r="U216" s="127"/>
      <c r="V216" s="22"/>
      <c r="W216" s="22"/>
      <c r="X216" s="22"/>
      <c r="Y216" s="22"/>
      <c r="Z216" s="22"/>
      <c r="AA216" s="127"/>
      <c r="AB216" s="127"/>
      <c r="AC216" s="22"/>
      <c r="AD216" s="22"/>
      <c r="AE216" s="22"/>
      <c r="AF216" s="22"/>
      <c r="AG216" s="22"/>
      <c r="AH216" s="127"/>
    </row>
    <row r="217" spans="6:34" x14ac:dyDescent="0.2">
      <c r="F217" s="1"/>
      <c r="N217" s="127"/>
      <c r="O217" s="22"/>
      <c r="P217" s="22"/>
      <c r="Q217" s="22"/>
      <c r="R217" s="22"/>
      <c r="S217" s="22"/>
      <c r="T217" s="127"/>
      <c r="U217" s="127"/>
      <c r="V217" s="22"/>
      <c r="W217" s="22"/>
      <c r="X217" s="22"/>
      <c r="Y217" s="22"/>
      <c r="Z217" s="22"/>
      <c r="AA217" s="127"/>
      <c r="AB217" s="127"/>
      <c r="AC217" s="22"/>
      <c r="AD217" s="22"/>
      <c r="AE217" s="22"/>
      <c r="AF217" s="22"/>
      <c r="AG217" s="22"/>
      <c r="AH217" s="127"/>
    </row>
    <row r="218" spans="6:34" x14ac:dyDescent="0.2">
      <c r="F218" s="1"/>
      <c r="N218" s="127"/>
      <c r="O218" s="22"/>
      <c r="P218" s="22"/>
      <c r="Q218" s="22"/>
      <c r="R218" s="22"/>
      <c r="S218" s="22"/>
      <c r="T218" s="127"/>
      <c r="U218" s="127"/>
      <c r="V218" s="22"/>
      <c r="W218" s="22"/>
      <c r="X218" s="22"/>
      <c r="Y218" s="22"/>
      <c r="Z218" s="22"/>
      <c r="AA218" s="127"/>
      <c r="AB218" s="127"/>
      <c r="AC218" s="22"/>
      <c r="AD218" s="22"/>
      <c r="AE218" s="22"/>
      <c r="AF218" s="22"/>
      <c r="AG218" s="22"/>
      <c r="AH218" s="127"/>
    </row>
    <row r="219" spans="6:34" x14ac:dyDescent="0.2">
      <c r="F219" s="1"/>
      <c r="N219" s="127"/>
      <c r="O219" s="22"/>
      <c r="P219" s="22"/>
      <c r="Q219" s="22"/>
      <c r="R219" s="22"/>
      <c r="S219" s="22"/>
      <c r="T219" s="127"/>
      <c r="U219" s="127"/>
      <c r="V219" s="22"/>
      <c r="W219" s="22"/>
      <c r="X219" s="22"/>
      <c r="Y219" s="22"/>
      <c r="Z219" s="22"/>
      <c r="AA219" s="127"/>
      <c r="AB219" s="127"/>
      <c r="AC219" s="22"/>
      <c r="AD219" s="22"/>
      <c r="AE219" s="22"/>
      <c r="AF219" s="22"/>
      <c r="AG219" s="22"/>
      <c r="AH219" s="127"/>
    </row>
    <row r="220" spans="6:34" x14ac:dyDescent="0.2">
      <c r="F220" s="1"/>
      <c r="N220" s="127"/>
      <c r="O220" s="22"/>
      <c r="P220" s="22"/>
      <c r="Q220" s="22"/>
      <c r="R220" s="22"/>
      <c r="S220" s="22"/>
      <c r="T220" s="127"/>
      <c r="U220" s="127"/>
      <c r="V220" s="22"/>
      <c r="W220" s="22"/>
      <c r="X220" s="22"/>
      <c r="Y220" s="22"/>
      <c r="Z220" s="22"/>
      <c r="AA220" s="127"/>
      <c r="AB220" s="127"/>
      <c r="AC220" s="22"/>
      <c r="AD220" s="22"/>
      <c r="AE220" s="22"/>
      <c r="AF220" s="22"/>
      <c r="AG220" s="22"/>
      <c r="AH220" s="127"/>
    </row>
    <row r="221" spans="6:34" x14ac:dyDescent="0.2">
      <c r="F221" s="1"/>
      <c r="N221" s="127"/>
      <c r="O221" s="22"/>
      <c r="P221" s="22"/>
      <c r="Q221" s="22"/>
      <c r="R221" s="22"/>
      <c r="S221" s="22"/>
      <c r="T221" s="127"/>
      <c r="U221" s="127"/>
      <c r="V221" s="22"/>
      <c r="W221" s="22"/>
      <c r="X221" s="22"/>
      <c r="Y221" s="22"/>
      <c r="Z221" s="22"/>
      <c r="AA221" s="127"/>
      <c r="AB221" s="127"/>
      <c r="AC221" s="22"/>
      <c r="AD221" s="22"/>
      <c r="AE221" s="22"/>
      <c r="AF221" s="22"/>
      <c r="AG221" s="22"/>
      <c r="AH221" s="127"/>
    </row>
    <row r="222" spans="6:34" x14ac:dyDescent="0.2">
      <c r="F222" s="1"/>
      <c r="N222" s="127"/>
      <c r="O222" s="22"/>
      <c r="P222" s="22"/>
      <c r="Q222" s="22"/>
      <c r="R222" s="22"/>
      <c r="S222" s="22"/>
      <c r="T222" s="127"/>
      <c r="U222" s="127"/>
      <c r="V222" s="22"/>
      <c r="W222" s="22"/>
      <c r="X222" s="22"/>
      <c r="Y222" s="22"/>
      <c r="Z222" s="22"/>
      <c r="AA222" s="127"/>
      <c r="AB222" s="127"/>
      <c r="AC222" s="22"/>
      <c r="AD222" s="22"/>
      <c r="AE222" s="22"/>
      <c r="AF222" s="22"/>
      <c r="AG222" s="22"/>
      <c r="AH222" s="127"/>
    </row>
    <row r="223" spans="6:34" x14ac:dyDescent="0.2">
      <c r="F223" s="1"/>
      <c r="N223" s="127"/>
      <c r="O223" s="22"/>
      <c r="P223" s="22"/>
      <c r="Q223" s="22"/>
      <c r="R223" s="22"/>
      <c r="S223" s="22"/>
      <c r="T223" s="127"/>
      <c r="U223" s="127"/>
      <c r="V223" s="22"/>
      <c r="W223" s="22"/>
      <c r="X223" s="22"/>
      <c r="Y223" s="22"/>
      <c r="Z223" s="22"/>
      <c r="AA223" s="127"/>
      <c r="AB223" s="127"/>
      <c r="AC223" s="22"/>
      <c r="AD223" s="22"/>
      <c r="AE223" s="22"/>
      <c r="AF223" s="22"/>
      <c r="AG223" s="22"/>
      <c r="AH223" s="127"/>
    </row>
    <row r="224" spans="6:34" x14ac:dyDescent="0.2">
      <c r="F224" s="1"/>
      <c r="N224" s="127"/>
      <c r="O224" s="22"/>
      <c r="P224" s="22"/>
      <c r="Q224" s="22"/>
      <c r="R224" s="22"/>
      <c r="S224" s="22"/>
      <c r="T224" s="127"/>
      <c r="U224" s="127"/>
      <c r="V224" s="22"/>
      <c r="W224" s="22"/>
      <c r="X224" s="22"/>
      <c r="Y224" s="22"/>
      <c r="Z224" s="22"/>
      <c r="AA224" s="127"/>
      <c r="AB224" s="127"/>
      <c r="AC224" s="22"/>
      <c r="AD224" s="22"/>
      <c r="AE224" s="22"/>
      <c r="AF224" s="22"/>
      <c r="AG224" s="22"/>
      <c r="AH224" s="127"/>
    </row>
    <row r="225" spans="6:34" x14ac:dyDescent="0.2">
      <c r="F225" s="1"/>
      <c r="N225" s="127"/>
      <c r="O225" s="22"/>
      <c r="P225" s="22"/>
      <c r="Q225" s="22"/>
      <c r="R225" s="22"/>
      <c r="S225" s="22"/>
      <c r="T225" s="127"/>
      <c r="U225" s="127"/>
      <c r="V225" s="22"/>
      <c r="W225" s="22"/>
      <c r="X225" s="22"/>
      <c r="Y225" s="22"/>
      <c r="Z225" s="22"/>
      <c r="AA225" s="127"/>
      <c r="AB225" s="127"/>
      <c r="AC225" s="22"/>
      <c r="AD225" s="22"/>
      <c r="AE225" s="22"/>
      <c r="AF225" s="22"/>
      <c r="AG225" s="22"/>
      <c r="AH225" s="127"/>
    </row>
    <row r="226" spans="6:34" x14ac:dyDescent="0.2">
      <c r="F226" s="1"/>
      <c r="N226" s="127"/>
      <c r="O226" s="22"/>
      <c r="P226" s="22"/>
      <c r="Q226" s="22"/>
      <c r="R226" s="22"/>
      <c r="S226" s="22"/>
      <c r="T226" s="127"/>
      <c r="U226" s="127"/>
      <c r="V226" s="22"/>
      <c r="W226" s="22"/>
      <c r="X226" s="22"/>
      <c r="Y226" s="22"/>
      <c r="Z226" s="22"/>
      <c r="AA226" s="127"/>
      <c r="AB226" s="127"/>
      <c r="AC226" s="22"/>
      <c r="AD226" s="22"/>
      <c r="AE226" s="22"/>
      <c r="AF226" s="22"/>
      <c r="AG226" s="22"/>
      <c r="AH226" s="127"/>
    </row>
    <row r="227" spans="6:34" x14ac:dyDescent="0.2">
      <c r="F227" s="1"/>
      <c r="N227" s="127"/>
      <c r="O227" s="22"/>
      <c r="P227" s="22"/>
      <c r="Q227" s="22"/>
      <c r="R227" s="22"/>
      <c r="S227" s="22"/>
      <c r="T227" s="127"/>
      <c r="U227" s="127"/>
      <c r="V227" s="22"/>
      <c r="W227" s="22"/>
      <c r="X227" s="22"/>
      <c r="Y227" s="22"/>
      <c r="Z227" s="22"/>
      <c r="AA227" s="127"/>
      <c r="AB227" s="127"/>
      <c r="AC227" s="22"/>
      <c r="AD227" s="22"/>
      <c r="AE227" s="22"/>
      <c r="AF227" s="22"/>
      <c r="AG227" s="22"/>
      <c r="AH227" s="127"/>
    </row>
    <row r="228" spans="6:34" x14ac:dyDescent="0.2">
      <c r="F228" s="1"/>
      <c r="N228" s="127"/>
      <c r="O228" s="22"/>
      <c r="P228" s="22"/>
      <c r="Q228" s="22"/>
      <c r="R228" s="22"/>
      <c r="S228" s="22"/>
      <c r="T228" s="127"/>
      <c r="U228" s="127"/>
      <c r="V228" s="22"/>
      <c r="W228" s="22"/>
      <c r="X228" s="22"/>
      <c r="Y228" s="22"/>
      <c r="Z228" s="22"/>
      <c r="AA228" s="127"/>
      <c r="AB228" s="127"/>
      <c r="AC228" s="22"/>
      <c r="AD228" s="22"/>
      <c r="AE228" s="22"/>
      <c r="AF228" s="22"/>
      <c r="AG228" s="22"/>
      <c r="AH228" s="127"/>
    </row>
    <row r="229" spans="6:34" x14ac:dyDescent="0.2">
      <c r="F229" s="1"/>
      <c r="N229" s="127"/>
      <c r="O229" s="22"/>
      <c r="P229" s="22"/>
      <c r="Q229" s="22"/>
      <c r="R229" s="22"/>
      <c r="S229" s="22"/>
      <c r="T229" s="127"/>
      <c r="U229" s="127"/>
      <c r="V229" s="22"/>
      <c r="W229" s="22"/>
      <c r="X229" s="22"/>
      <c r="Y229" s="22"/>
      <c r="Z229" s="22"/>
      <c r="AA229" s="127"/>
      <c r="AB229" s="127"/>
      <c r="AC229" s="22"/>
      <c r="AD229" s="22"/>
      <c r="AE229" s="22"/>
      <c r="AF229" s="22"/>
      <c r="AG229" s="22"/>
      <c r="AH229" s="127"/>
    </row>
    <row r="230" spans="6:34" x14ac:dyDescent="0.2">
      <c r="F230" s="1"/>
      <c r="N230" s="127"/>
      <c r="O230" s="22"/>
      <c r="P230" s="22"/>
      <c r="Q230" s="22"/>
      <c r="R230" s="22"/>
      <c r="S230" s="22"/>
      <c r="T230" s="127"/>
      <c r="U230" s="127"/>
      <c r="V230" s="22"/>
      <c r="W230" s="22"/>
      <c r="X230" s="22"/>
      <c r="Y230" s="22"/>
      <c r="Z230" s="22"/>
      <c r="AA230" s="127"/>
      <c r="AB230" s="127"/>
      <c r="AC230" s="22"/>
      <c r="AD230" s="22"/>
      <c r="AE230" s="22"/>
      <c r="AF230" s="22"/>
      <c r="AG230" s="22"/>
      <c r="AH230" s="127"/>
    </row>
    <row r="231" spans="6:34" x14ac:dyDescent="0.2">
      <c r="F231" s="1"/>
      <c r="N231" s="127"/>
      <c r="O231" s="22"/>
      <c r="P231" s="22"/>
      <c r="Q231" s="22"/>
      <c r="R231" s="22"/>
      <c r="S231" s="22"/>
      <c r="T231" s="127"/>
      <c r="U231" s="127"/>
      <c r="V231" s="22"/>
      <c r="W231" s="22"/>
      <c r="X231" s="22"/>
      <c r="Y231" s="22"/>
      <c r="Z231" s="22"/>
      <c r="AA231" s="127"/>
      <c r="AB231" s="127"/>
      <c r="AC231" s="22"/>
      <c r="AD231" s="22"/>
      <c r="AE231" s="22"/>
      <c r="AF231" s="22"/>
      <c r="AG231" s="22"/>
      <c r="AH231" s="127"/>
    </row>
    <row r="232" spans="6:34" x14ac:dyDescent="0.2">
      <c r="F232" s="1"/>
      <c r="N232" s="127"/>
      <c r="O232" s="22"/>
      <c r="P232" s="22"/>
      <c r="Q232" s="22"/>
      <c r="R232" s="22"/>
      <c r="S232" s="22"/>
      <c r="T232" s="127"/>
      <c r="U232" s="127"/>
      <c r="V232" s="22"/>
      <c r="W232" s="22"/>
      <c r="X232" s="22"/>
      <c r="Y232" s="22"/>
      <c r="Z232" s="22"/>
      <c r="AA232" s="127"/>
      <c r="AB232" s="127"/>
      <c r="AC232" s="22"/>
      <c r="AD232" s="22"/>
      <c r="AE232" s="22"/>
      <c r="AF232" s="22"/>
      <c r="AG232" s="22"/>
      <c r="AH232" s="127"/>
    </row>
    <row r="233" spans="6:34" x14ac:dyDescent="0.2">
      <c r="F233" s="1"/>
      <c r="N233" s="127"/>
      <c r="O233" s="22"/>
      <c r="P233" s="22"/>
      <c r="Q233" s="22"/>
      <c r="R233" s="22"/>
      <c r="S233" s="22"/>
      <c r="T233" s="127"/>
      <c r="U233" s="127"/>
      <c r="V233" s="22"/>
      <c r="W233" s="22"/>
      <c r="X233" s="22"/>
      <c r="Y233" s="22"/>
      <c r="Z233" s="22"/>
      <c r="AA233" s="127"/>
      <c r="AB233" s="127"/>
      <c r="AC233" s="22"/>
      <c r="AD233" s="22"/>
      <c r="AE233" s="22"/>
      <c r="AF233" s="22"/>
      <c r="AG233" s="22"/>
      <c r="AH233" s="127"/>
    </row>
    <row r="234" spans="6:34" x14ac:dyDescent="0.2">
      <c r="F234" s="1"/>
      <c r="N234" s="127"/>
      <c r="O234" s="22"/>
      <c r="P234" s="22"/>
      <c r="Q234" s="22"/>
      <c r="R234" s="22"/>
      <c r="S234" s="22"/>
      <c r="T234" s="127"/>
      <c r="U234" s="127"/>
      <c r="V234" s="22"/>
      <c r="W234" s="22"/>
      <c r="X234" s="22"/>
      <c r="Y234" s="22"/>
      <c r="Z234" s="22"/>
      <c r="AA234" s="127"/>
      <c r="AB234" s="127"/>
      <c r="AC234" s="22"/>
      <c r="AD234" s="22"/>
      <c r="AE234" s="22"/>
      <c r="AF234" s="22"/>
      <c r="AG234" s="22"/>
      <c r="AH234" s="127"/>
    </row>
    <row r="235" spans="6:34" x14ac:dyDescent="0.2">
      <c r="F235" s="1"/>
      <c r="N235" s="127"/>
      <c r="O235" s="22"/>
      <c r="P235" s="22"/>
      <c r="Q235" s="22"/>
      <c r="R235" s="22"/>
      <c r="S235" s="22"/>
      <c r="T235" s="127"/>
      <c r="U235" s="127"/>
      <c r="V235" s="22"/>
      <c r="W235" s="22"/>
      <c r="X235" s="22"/>
      <c r="Y235" s="22"/>
      <c r="Z235" s="22"/>
      <c r="AA235" s="127"/>
      <c r="AB235" s="127"/>
      <c r="AC235" s="22"/>
      <c r="AD235" s="22"/>
      <c r="AE235" s="22"/>
      <c r="AF235" s="22"/>
      <c r="AG235" s="22"/>
      <c r="AH235" s="127"/>
    </row>
    <row r="236" spans="6:34" x14ac:dyDescent="0.2">
      <c r="F236" s="1"/>
      <c r="N236" s="127"/>
      <c r="O236" s="22"/>
      <c r="P236" s="22"/>
      <c r="Q236" s="22"/>
      <c r="R236" s="22"/>
      <c r="S236" s="22"/>
      <c r="T236" s="127"/>
      <c r="U236" s="127"/>
      <c r="V236" s="22"/>
      <c r="W236" s="22"/>
      <c r="X236" s="22"/>
      <c r="Y236" s="22"/>
      <c r="Z236" s="22"/>
      <c r="AA236" s="127"/>
      <c r="AB236" s="127"/>
      <c r="AC236" s="22"/>
      <c r="AD236" s="22"/>
      <c r="AE236" s="22"/>
      <c r="AF236" s="22"/>
      <c r="AG236" s="22"/>
      <c r="AH236" s="127"/>
    </row>
    <row r="237" spans="6:34" x14ac:dyDescent="0.2">
      <c r="F237" s="1"/>
      <c r="N237" s="127"/>
      <c r="O237" s="22"/>
      <c r="P237" s="22"/>
      <c r="Q237" s="22"/>
      <c r="R237" s="22"/>
      <c r="S237" s="22"/>
      <c r="T237" s="127"/>
      <c r="U237" s="127"/>
      <c r="V237" s="22"/>
      <c r="W237" s="22"/>
      <c r="X237" s="22"/>
      <c r="Y237" s="22"/>
      <c r="Z237" s="22"/>
      <c r="AA237" s="127"/>
      <c r="AB237" s="127"/>
      <c r="AC237" s="22"/>
      <c r="AD237" s="22"/>
      <c r="AE237" s="22"/>
      <c r="AF237" s="22"/>
      <c r="AG237" s="22"/>
      <c r="AH237" s="127"/>
    </row>
    <row r="238" spans="6:34" x14ac:dyDescent="0.2">
      <c r="F238" s="1"/>
      <c r="N238" s="127"/>
      <c r="O238" s="22"/>
      <c r="P238" s="22"/>
      <c r="Q238" s="22"/>
      <c r="R238" s="22"/>
      <c r="S238" s="22"/>
      <c r="T238" s="127"/>
      <c r="U238" s="127"/>
      <c r="V238" s="22"/>
      <c r="W238" s="22"/>
      <c r="X238" s="22"/>
      <c r="Y238" s="22"/>
      <c r="Z238" s="22"/>
      <c r="AA238" s="127"/>
      <c r="AB238" s="127"/>
      <c r="AC238" s="22"/>
      <c r="AD238" s="22"/>
      <c r="AE238" s="22"/>
      <c r="AF238" s="22"/>
      <c r="AG238" s="22"/>
      <c r="AH238" s="127"/>
    </row>
    <row r="239" spans="6:34" x14ac:dyDescent="0.2">
      <c r="F239" s="1"/>
      <c r="N239" s="127"/>
      <c r="O239" s="22"/>
      <c r="P239" s="22"/>
      <c r="Q239" s="22"/>
      <c r="R239" s="22"/>
      <c r="S239" s="22"/>
      <c r="T239" s="127"/>
      <c r="U239" s="127"/>
      <c r="V239" s="22"/>
      <c r="W239" s="22"/>
      <c r="X239" s="22"/>
      <c r="Y239" s="22"/>
      <c r="Z239" s="22"/>
      <c r="AA239" s="127"/>
      <c r="AB239" s="127"/>
      <c r="AC239" s="22"/>
      <c r="AD239" s="22"/>
      <c r="AE239" s="22"/>
      <c r="AF239" s="22"/>
      <c r="AG239" s="22"/>
      <c r="AH239" s="127"/>
    </row>
    <row r="240" spans="6:34" x14ac:dyDescent="0.2">
      <c r="F240" s="1"/>
      <c r="N240" s="127"/>
      <c r="O240" s="22"/>
      <c r="P240" s="22"/>
      <c r="Q240" s="22"/>
      <c r="R240" s="22"/>
      <c r="S240" s="22"/>
      <c r="T240" s="127"/>
      <c r="U240" s="127"/>
      <c r="V240" s="22"/>
      <c r="W240" s="22"/>
      <c r="X240" s="22"/>
      <c r="Y240" s="22"/>
      <c r="Z240" s="22"/>
      <c r="AA240" s="127"/>
      <c r="AB240" s="127"/>
      <c r="AC240" s="22"/>
      <c r="AD240" s="22"/>
      <c r="AE240" s="22"/>
      <c r="AF240" s="22"/>
      <c r="AG240" s="22"/>
      <c r="AH240" s="127"/>
    </row>
    <row r="241" spans="6:34" x14ac:dyDescent="0.2">
      <c r="F241" s="1"/>
      <c r="N241" s="127"/>
      <c r="O241" s="22"/>
      <c r="P241" s="22"/>
      <c r="Q241" s="22"/>
      <c r="R241" s="22"/>
      <c r="S241" s="22"/>
      <c r="T241" s="127"/>
      <c r="U241" s="127"/>
      <c r="V241" s="22"/>
      <c r="W241" s="22"/>
      <c r="X241" s="22"/>
      <c r="Y241" s="22"/>
      <c r="Z241" s="22"/>
      <c r="AA241" s="127"/>
      <c r="AB241" s="127"/>
      <c r="AC241" s="22"/>
      <c r="AD241" s="22"/>
      <c r="AE241" s="22"/>
      <c r="AF241" s="22"/>
      <c r="AG241" s="22"/>
      <c r="AH241" s="127"/>
    </row>
    <row r="242" spans="6:34" x14ac:dyDescent="0.2">
      <c r="F242" s="1"/>
      <c r="N242" s="127"/>
      <c r="O242" s="22"/>
      <c r="P242" s="22"/>
      <c r="Q242" s="22"/>
      <c r="R242" s="22"/>
      <c r="S242" s="22"/>
      <c r="T242" s="127"/>
      <c r="U242" s="127"/>
      <c r="V242" s="22"/>
      <c r="W242" s="22"/>
      <c r="X242" s="22"/>
      <c r="Y242" s="22"/>
      <c r="Z242" s="22"/>
      <c r="AA242" s="127"/>
      <c r="AB242" s="127"/>
      <c r="AC242" s="22"/>
      <c r="AD242" s="22"/>
      <c r="AE242" s="22"/>
      <c r="AF242" s="22"/>
      <c r="AG242" s="22"/>
      <c r="AH242" s="127"/>
    </row>
    <row r="243" spans="6:34" x14ac:dyDescent="0.2">
      <c r="F243" s="1"/>
      <c r="N243" s="127"/>
      <c r="O243" s="22"/>
      <c r="P243" s="22"/>
      <c r="Q243" s="22"/>
      <c r="R243" s="22"/>
      <c r="S243" s="22"/>
      <c r="T243" s="127"/>
      <c r="U243" s="127"/>
      <c r="V243" s="22"/>
      <c r="W243" s="22"/>
      <c r="X243" s="22"/>
      <c r="Y243" s="22"/>
      <c r="Z243" s="22"/>
      <c r="AA243" s="127"/>
      <c r="AB243" s="127"/>
      <c r="AC243" s="22"/>
      <c r="AD243" s="22"/>
      <c r="AE243" s="22"/>
      <c r="AF243" s="22"/>
      <c r="AG243" s="22"/>
      <c r="AH243" s="127"/>
    </row>
    <row r="244" spans="6:34" x14ac:dyDescent="0.2">
      <c r="F244" s="1"/>
      <c r="N244" s="127"/>
      <c r="O244" s="22"/>
      <c r="P244" s="22"/>
      <c r="Q244" s="22"/>
      <c r="R244" s="22"/>
      <c r="S244" s="22"/>
      <c r="T244" s="127"/>
      <c r="U244" s="127"/>
      <c r="V244" s="22"/>
      <c r="W244" s="22"/>
      <c r="X244" s="22"/>
      <c r="Y244" s="22"/>
      <c r="Z244" s="22"/>
      <c r="AA244" s="127"/>
      <c r="AB244" s="127"/>
      <c r="AC244" s="22"/>
      <c r="AD244" s="22"/>
      <c r="AE244" s="22"/>
      <c r="AF244" s="22"/>
      <c r="AG244" s="22"/>
      <c r="AH244" s="127"/>
    </row>
    <row r="245" spans="6:34" x14ac:dyDescent="0.2">
      <c r="F245" s="1"/>
      <c r="N245" s="127"/>
      <c r="O245" s="22"/>
      <c r="P245" s="22"/>
      <c r="Q245" s="22"/>
      <c r="R245" s="22"/>
      <c r="S245" s="22"/>
      <c r="T245" s="127"/>
      <c r="U245" s="127"/>
      <c r="V245" s="22"/>
      <c r="W245" s="22"/>
      <c r="X245" s="22"/>
      <c r="Y245" s="22"/>
      <c r="Z245" s="22"/>
      <c r="AA245" s="127"/>
      <c r="AB245" s="127"/>
      <c r="AC245" s="22"/>
      <c r="AD245" s="22"/>
      <c r="AE245" s="22"/>
      <c r="AF245" s="22"/>
      <c r="AG245" s="22"/>
      <c r="AH245" s="127"/>
    </row>
    <row r="246" spans="6:34" x14ac:dyDescent="0.2">
      <c r="F246" s="1"/>
      <c r="N246" s="127"/>
      <c r="O246" s="22"/>
      <c r="P246" s="22"/>
      <c r="Q246" s="22"/>
      <c r="R246" s="22"/>
      <c r="S246" s="22"/>
      <c r="T246" s="127"/>
      <c r="U246" s="127"/>
      <c r="V246" s="22"/>
      <c r="W246" s="22"/>
      <c r="X246" s="22"/>
      <c r="Y246" s="22"/>
      <c r="Z246" s="22"/>
      <c r="AA246" s="127"/>
      <c r="AB246" s="127"/>
      <c r="AC246" s="22"/>
      <c r="AD246" s="22"/>
      <c r="AE246" s="22"/>
      <c r="AF246" s="22"/>
      <c r="AG246" s="22"/>
      <c r="AH246" s="127"/>
    </row>
    <row r="247" spans="6:34" x14ac:dyDescent="0.2">
      <c r="F247" s="1"/>
      <c r="N247" s="127"/>
      <c r="O247" s="22"/>
      <c r="P247" s="22"/>
      <c r="Q247" s="22"/>
      <c r="R247" s="22"/>
      <c r="S247" s="22"/>
      <c r="T247" s="127"/>
      <c r="U247" s="127"/>
      <c r="V247" s="22"/>
      <c r="W247" s="22"/>
      <c r="X247" s="22"/>
      <c r="Y247" s="22"/>
      <c r="Z247" s="22"/>
      <c r="AA247" s="127"/>
      <c r="AB247" s="127"/>
      <c r="AC247" s="22"/>
      <c r="AD247" s="22"/>
      <c r="AE247" s="22"/>
      <c r="AF247" s="22"/>
      <c r="AG247" s="22"/>
      <c r="AH247" s="127"/>
    </row>
    <row r="248" spans="6:34" x14ac:dyDescent="0.2">
      <c r="F248" s="1"/>
      <c r="N248" s="127"/>
      <c r="O248" s="22"/>
      <c r="P248" s="22"/>
      <c r="Q248" s="22"/>
      <c r="R248" s="22"/>
      <c r="S248" s="22"/>
      <c r="T248" s="127"/>
      <c r="U248" s="127"/>
      <c r="V248" s="22"/>
      <c r="W248" s="22"/>
      <c r="X248" s="22"/>
      <c r="Y248" s="22"/>
      <c r="Z248" s="22"/>
      <c r="AA248" s="127"/>
      <c r="AB248" s="127"/>
      <c r="AC248" s="22"/>
      <c r="AD248" s="22"/>
      <c r="AE248" s="22"/>
      <c r="AF248" s="22"/>
      <c r="AG248" s="22"/>
      <c r="AH248" s="127"/>
    </row>
    <row r="249" spans="6:34" x14ac:dyDescent="0.2">
      <c r="F249" s="1"/>
      <c r="N249" s="127"/>
      <c r="O249" s="22"/>
      <c r="P249" s="22"/>
      <c r="Q249" s="22"/>
      <c r="R249" s="22"/>
      <c r="S249" s="22"/>
      <c r="T249" s="127"/>
      <c r="U249" s="127"/>
      <c r="V249" s="22"/>
      <c r="W249" s="22"/>
      <c r="X249" s="22"/>
      <c r="Y249" s="22"/>
      <c r="Z249" s="22"/>
      <c r="AA249" s="127"/>
      <c r="AB249" s="127"/>
      <c r="AC249" s="22"/>
      <c r="AD249" s="22"/>
      <c r="AE249" s="22"/>
      <c r="AF249" s="22"/>
      <c r="AG249" s="22"/>
      <c r="AH249" s="127"/>
    </row>
    <row r="250" spans="6:34" x14ac:dyDescent="0.2">
      <c r="F250" s="1"/>
      <c r="N250" s="127"/>
      <c r="O250" s="22"/>
      <c r="P250" s="22"/>
      <c r="Q250" s="22"/>
      <c r="R250" s="22"/>
      <c r="S250" s="22"/>
      <c r="T250" s="127"/>
      <c r="U250" s="127"/>
      <c r="V250" s="22"/>
      <c r="W250" s="22"/>
      <c r="X250" s="22"/>
      <c r="Y250" s="22"/>
      <c r="Z250" s="22"/>
      <c r="AA250" s="127"/>
      <c r="AB250" s="127"/>
      <c r="AC250" s="22"/>
      <c r="AD250" s="22"/>
      <c r="AE250" s="22"/>
      <c r="AF250" s="22"/>
      <c r="AG250" s="22"/>
      <c r="AH250" s="127"/>
    </row>
    <row r="251" spans="6:34" x14ac:dyDescent="0.2">
      <c r="F251" s="1"/>
      <c r="N251" s="127"/>
      <c r="O251" s="22"/>
      <c r="P251" s="22"/>
      <c r="Q251" s="22"/>
      <c r="R251" s="22"/>
      <c r="S251" s="22"/>
      <c r="T251" s="127"/>
      <c r="U251" s="127"/>
      <c r="V251" s="22"/>
      <c r="W251" s="22"/>
      <c r="X251" s="22"/>
      <c r="Y251" s="22"/>
      <c r="Z251" s="22"/>
      <c r="AA251" s="127"/>
      <c r="AB251" s="127"/>
      <c r="AC251" s="22"/>
      <c r="AD251" s="22"/>
      <c r="AE251" s="22"/>
      <c r="AF251" s="22"/>
      <c r="AG251" s="22"/>
      <c r="AH251" s="127"/>
    </row>
    <row r="252" spans="6:34" x14ac:dyDescent="0.2">
      <c r="F252" s="1"/>
      <c r="N252" s="127"/>
      <c r="O252" s="22"/>
      <c r="P252" s="22"/>
      <c r="Q252" s="22"/>
      <c r="R252" s="22"/>
      <c r="S252" s="22"/>
      <c r="T252" s="127"/>
      <c r="U252" s="127"/>
      <c r="V252" s="22"/>
      <c r="W252" s="22"/>
      <c r="X252" s="22"/>
      <c r="Y252" s="22"/>
      <c r="Z252" s="22"/>
      <c r="AA252" s="127"/>
      <c r="AB252" s="127"/>
      <c r="AC252" s="22"/>
      <c r="AD252" s="22"/>
      <c r="AE252" s="22"/>
      <c r="AF252" s="22"/>
      <c r="AG252" s="22"/>
      <c r="AH252" s="127"/>
    </row>
    <row r="253" spans="6:34" x14ac:dyDescent="0.2">
      <c r="F253" s="1"/>
      <c r="N253" s="127"/>
      <c r="O253" s="22"/>
      <c r="P253" s="22"/>
      <c r="Q253" s="22"/>
      <c r="R253" s="22"/>
      <c r="S253" s="22"/>
      <c r="T253" s="127"/>
      <c r="U253" s="127"/>
      <c r="V253" s="22"/>
      <c r="W253" s="22"/>
      <c r="X253" s="22"/>
      <c r="Y253" s="22"/>
      <c r="Z253" s="22"/>
      <c r="AA253" s="127"/>
      <c r="AB253" s="127"/>
      <c r="AC253" s="22"/>
      <c r="AD253" s="22"/>
      <c r="AE253" s="22"/>
      <c r="AF253" s="22"/>
      <c r="AG253" s="22"/>
      <c r="AH253" s="127"/>
    </row>
    <row r="254" spans="6:34" x14ac:dyDescent="0.2">
      <c r="F254" s="1"/>
      <c r="N254" s="127"/>
      <c r="O254" s="22"/>
      <c r="P254" s="22"/>
      <c r="Q254" s="22"/>
      <c r="R254" s="22"/>
      <c r="S254" s="22"/>
      <c r="T254" s="127"/>
      <c r="U254" s="127"/>
      <c r="V254" s="22"/>
      <c r="W254" s="22"/>
      <c r="X254" s="22"/>
      <c r="Y254" s="22"/>
      <c r="Z254" s="22"/>
      <c r="AA254" s="127"/>
      <c r="AB254" s="127"/>
      <c r="AC254" s="22"/>
      <c r="AD254" s="22"/>
      <c r="AE254" s="22"/>
      <c r="AF254" s="22"/>
      <c r="AG254" s="22"/>
      <c r="AH254" s="127"/>
    </row>
    <row r="255" spans="6:34" x14ac:dyDescent="0.2">
      <c r="F255" s="1"/>
      <c r="N255" s="127"/>
      <c r="O255" s="22"/>
      <c r="P255" s="22"/>
      <c r="Q255" s="22"/>
      <c r="R255" s="22"/>
      <c r="S255" s="22"/>
      <c r="T255" s="127"/>
      <c r="U255" s="127"/>
      <c r="V255" s="22"/>
      <c r="W255" s="22"/>
      <c r="X255" s="22"/>
      <c r="Y255" s="22"/>
      <c r="Z255" s="22"/>
      <c r="AA255" s="127"/>
      <c r="AB255" s="127"/>
      <c r="AC255" s="22"/>
      <c r="AD255" s="22"/>
      <c r="AE255" s="22"/>
      <c r="AF255" s="22"/>
      <c r="AG255" s="22"/>
      <c r="AH255" s="127"/>
    </row>
    <row r="256" spans="6:34" x14ac:dyDescent="0.2">
      <c r="F256" s="1"/>
      <c r="N256" s="127"/>
      <c r="O256" s="22"/>
      <c r="P256" s="22"/>
      <c r="Q256" s="22"/>
      <c r="R256" s="22"/>
      <c r="S256" s="22"/>
      <c r="T256" s="127"/>
      <c r="U256" s="127"/>
      <c r="V256" s="22"/>
      <c r="W256" s="22"/>
      <c r="X256" s="22"/>
      <c r="Y256" s="22"/>
      <c r="Z256" s="22"/>
      <c r="AA256" s="127"/>
      <c r="AB256" s="127"/>
      <c r="AC256" s="22"/>
      <c r="AD256" s="22"/>
      <c r="AE256" s="22"/>
      <c r="AF256" s="22"/>
      <c r="AG256" s="22"/>
      <c r="AH256" s="127"/>
    </row>
    <row r="257" spans="6:34" x14ac:dyDescent="0.2">
      <c r="F257" s="1"/>
      <c r="N257" s="127"/>
      <c r="O257" s="22"/>
      <c r="P257" s="22"/>
      <c r="Q257" s="22"/>
      <c r="R257" s="22"/>
      <c r="S257" s="22"/>
      <c r="T257" s="127"/>
      <c r="U257" s="127"/>
      <c r="V257" s="22"/>
      <c r="W257" s="22"/>
      <c r="X257" s="22"/>
      <c r="Y257" s="22"/>
      <c r="Z257" s="22"/>
      <c r="AA257" s="127"/>
      <c r="AB257" s="127"/>
      <c r="AC257" s="22"/>
      <c r="AD257" s="22"/>
      <c r="AE257" s="22"/>
      <c r="AF257" s="22"/>
      <c r="AG257" s="22"/>
      <c r="AH257" s="127"/>
    </row>
    <row r="258" spans="6:34" x14ac:dyDescent="0.2">
      <c r="F258" s="1"/>
      <c r="N258" s="127"/>
      <c r="O258" s="22"/>
      <c r="P258" s="22"/>
      <c r="Q258" s="22"/>
      <c r="R258" s="22"/>
      <c r="S258" s="22"/>
      <c r="T258" s="127"/>
      <c r="U258" s="127"/>
      <c r="V258" s="22"/>
      <c r="W258" s="22"/>
      <c r="X258" s="22"/>
      <c r="Y258" s="22"/>
      <c r="Z258" s="22"/>
      <c r="AA258" s="127"/>
      <c r="AB258" s="127"/>
      <c r="AC258" s="22"/>
      <c r="AD258" s="22"/>
      <c r="AE258" s="22"/>
      <c r="AF258" s="22"/>
      <c r="AG258" s="22"/>
      <c r="AH258" s="127"/>
    </row>
    <row r="259" spans="6:34" x14ac:dyDescent="0.2">
      <c r="F259" s="1"/>
      <c r="N259" s="127"/>
      <c r="O259" s="22"/>
      <c r="P259" s="22"/>
      <c r="Q259" s="22"/>
      <c r="R259" s="22"/>
      <c r="S259" s="22"/>
      <c r="T259" s="127"/>
      <c r="U259" s="127"/>
      <c r="V259" s="22"/>
      <c r="W259" s="22"/>
      <c r="X259" s="22"/>
      <c r="Y259" s="22"/>
      <c r="Z259" s="22"/>
      <c r="AA259" s="127"/>
      <c r="AB259" s="127"/>
      <c r="AC259" s="22"/>
      <c r="AD259" s="22"/>
      <c r="AE259" s="22"/>
      <c r="AF259" s="22"/>
      <c r="AG259" s="22"/>
      <c r="AH259" s="127"/>
    </row>
    <row r="260" spans="6:34" x14ac:dyDescent="0.2">
      <c r="F260" s="1"/>
      <c r="N260" s="127"/>
      <c r="O260" s="22"/>
      <c r="P260" s="22"/>
      <c r="Q260" s="22"/>
      <c r="R260" s="22"/>
      <c r="S260" s="22"/>
      <c r="T260" s="127"/>
      <c r="U260" s="127"/>
      <c r="V260" s="22"/>
      <c r="W260" s="22"/>
      <c r="X260" s="22"/>
      <c r="Y260" s="22"/>
      <c r="Z260" s="22"/>
      <c r="AA260" s="127"/>
      <c r="AB260" s="127"/>
      <c r="AC260" s="22"/>
      <c r="AD260" s="22"/>
      <c r="AE260" s="22"/>
      <c r="AF260" s="22"/>
      <c r="AG260" s="22"/>
      <c r="AH260" s="127"/>
    </row>
    <row r="261" spans="6:34" x14ac:dyDescent="0.2">
      <c r="F261" s="1"/>
      <c r="N261" s="127"/>
      <c r="O261" s="22"/>
      <c r="P261" s="22"/>
      <c r="Q261" s="22"/>
      <c r="R261" s="22"/>
      <c r="S261" s="22"/>
      <c r="T261" s="127"/>
      <c r="U261" s="127"/>
      <c r="V261" s="22"/>
      <c r="W261" s="22"/>
      <c r="X261" s="22"/>
      <c r="Y261" s="22"/>
      <c r="Z261" s="22"/>
      <c r="AA261" s="127"/>
      <c r="AB261" s="127"/>
      <c r="AC261" s="22"/>
      <c r="AD261" s="22"/>
      <c r="AE261" s="22"/>
      <c r="AF261" s="22"/>
      <c r="AG261" s="22"/>
      <c r="AH261" s="127"/>
    </row>
    <row r="262" spans="6:34" x14ac:dyDescent="0.2">
      <c r="F262" s="1"/>
      <c r="N262" s="127"/>
      <c r="O262" s="22"/>
      <c r="P262" s="22"/>
      <c r="Q262" s="22"/>
      <c r="R262" s="22"/>
      <c r="S262" s="22"/>
      <c r="T262" s="127"/>
      <c r="U262" s="127"/>
      <c r="V262" s="22"/>
      <c r="W262" s="22"/>
      <c r="X262" s="22"/>
      <c r="Y262" s="22"/>
      <c r="Z262" s="22"/>
      <c r="AA262" s="127"/>
      <c r="AB262" s="127"/>
      <c r="AC262" s="22"/>
      <c r="AD262" s="22"/>
      <c r="AE262" s="22"/>
      <c r="AF262" s="22"/>
      <c r="AG262" s="22"/>
      <c r="AH262" s="127"/>
    </row>
    <row r="263" spans="6:34" x14ac:dyDescent="0.2">
      <c r="F263" s="1"/>
      <c r="N263" s="127"/>
      <c r="O263" s="22"/>
      <c r="P263" s="22"/>
      <c r="Q263" s="22"/>
      <c r="R263" s="22"/>
      <c r="S263" s="22"/>
      <c r="T263" s="127"/>
      <c r="U263" s="127"/>
      <c r="V263" s="22"/>
      <c r="W263" s="22"/>
      <c r="X263" s="22"/>
      <c r="Y263" s="22"/>
      <c r="Z263" s="22"/>
      <c r="AA263" s="127"/>
      <c r="AB263" s="127"/>
      <c r="AC263" s="22"/>
      <c r="AD263" s="22"/>
      <c r="AE263" s="22"/>
      <c r="AF263" s="22"/>
      <c r="AG263" s="22"/>
      <c r="AH263" s="127"/>
    </row>
    <row r="264" spans="6:34" x14ac:dyDescent="0.2">
      <c r="F264" s="1"/>
      <c r="N264" s="127"/>
      <c r="O264" s="22"/>
      <c r="P264" s="22"/>
      <c r="Q264" s="22"/>
      <c r="R264" s="22"/>
      <c r="S264" s="22"/>
      <c r="T264" s="127"/>
      <c r="U264" s="127"/>
      <c r="V264" s="22"/>
      <c r="W264" s="22"/>
      <c r="X264" s="22"/>
      <c r="Y264" s="22"/>
      <c r="Z264" s="22"/>
      <c r="AA264" s="127"/>
      <c r="AB264" s="127"/>
      <c r="AC264" s="22"/>
      <c r="AD264" s="22"/>
      <c r="AE264" s="22"/>
      <c r="AF264" s="22"/>
      <c r="AG264" s="22"/>
      <c r="AH264" s="127"/>
    </row>
    <row r="265" spans="6:34" x14ac:dyDescent="0.2">
      <c r="F265" s="1"/>
      <c r="N265" s="127"/>
      <c r="O265" s="22"/>
      <c r="P265" s="22"/>
      <c r="Q265" s="22"/>
      <c r="R265" s="22"/>
      <c r="S265" s="22"/>
      <c r="T265" s="127"/>
      <c r="U265" s="127"/>
      <c r="V265" s="22"/>
      <c r="W265" s="22"/>
      <c r="X265" s="22"/>
      <c r="Y265" s="22"/>
      <c r="Z265" s="22"/>
      <c r="AA265" s="127"/>
      <c r="AB265" s="127"/>
      <c r="AC265" s="22"/>
      <c r="AD265" s="22"/>
      <c r="AE265" s="22"/>
      <c r="AF265" s="22"/>
      <c r="AG265" s="22"/>
      <c r="AH265" s="127"/>
    </row>
    <row r="266" spans="6:34" x14ac:dyDescent="0.2">
      <c r="F266" s="1"/>
      <c r="N266" s="127"/>
      <c r="O266" s="22"/>
      <c r="P266" s="22"/>
      <c r="Q266" s="22"/>
      <c r="R266" s="22"/>
      <c r="S266" s="22"/>
      <c r="T266" s="127"/>
      <c r="U266" s="127"/>
      <c r="V266" s="22"/>
      <c r="W266" s="22"/>
      <c r="X266" s="22"/>
      <c r="Y266" s="22"/>
      <c r="Z266" s="22"/>
      <c r="AA266" s="127"/>
      <c r="AB266" s="127"/>
      <c r="AC266" s="22"/>
      <c r="AD266" s="22"/>
      <c r="AE266" s="22"/>
      <c r="AF266" s="22"/>
      <c r="AG266" s="22"/>
      <c r="AH266" s="127"/>
    </row>
    <row r="267" spans="6:34" x14ac:dyDescent="0.2">
      <c r="F267" s="1"/>
      <c r="N267" s="127"/>
      <c r="O267" s="22"/>
      <c r="P267" s="22"/>
      <c r="Q267" s="22"/>
      <c r="R267" s="22"/>
      <c r="S267" s="22"/>
      <c r="T267" s="127"/>
      <c r="U267" s="127"/>
      <c r="V267" s="22"/>
      <c r="W267" s="22"/>
      <c r="X267" s="22"/>
      <c r="Y267" s="22"/>
      <c r="Z267" s="22"/>
      <c r="AA267" s="127"/>
      <c r="AB267" s="127"/>
      <c r="AC267" s="22"/>
      <c r="AD267" s="22"/>
      <c r="AE267" s="22"/>
      <c r="AF267" s="22"/>
      <c r="AG267" s="22"/>
      <c r="AH267" s="127"/>
    </row>
    <row r="268" spans="6:34" x14ac:dyDescent="0.2">
      <c r="F268" s="1"/>
      <c r="N268" s="127"/>
      <c r="O268" s="22"/>
      <c r="P268" s="22"/>
      <c r="Q268" s="22"/>
      <c r="R268" s="22"/>
      <c r="S268" s="22"/>
      <c r="T268" s="127"/>
      <c r="U268" s="127"/>
      <c r="V268" s="22"/>
      <c r="W268" s="22"/>
      <c r="X268" s="22"/>
      <c r="Y268" s="22"/>
      <c r="Z268" s="22"/>
      <c r="AA268" s="127"/>
      <c r="AB268" s="127"/>
      <c r="AC268" s="22"/>
      <c r="AD268" s="22"/>
      <c r="AE268" s="22"/>
      <c r="AF268" s="22"/>
      <c r="AG268" s="22"/>
      <c r="AH268" s="127"/>
    </row>
    <row r="269" spans="6:34" x14ac:dyDescent="0.2">
      <c r="F269" s="1"/>
      <c r="N269" s="127"/>
      <c r="O269" s="22"/>
      <c r="P269" s="22"/>
      <c r="Q269" s="22"/>
      <c r="R269" s="22"/>
      <c r="S269" s="22"/>
      <c r="T269" s="127"/>
      <c r="U269" s="127"/>
      <c r="V269" s="22"/>
      <c r="W269" s="22"/>
      <c r="X269" s="22"/>
      <c r="Y269" s="22"/>
      <c r="Z269" s="22"/>
      <c r="AA269" s="127"/>
      <c r="AB269" s="127"/>
      <c r="AC269" s="22"/>
      <c r="AD269" s="22"/>
      <c r="AE269" s="22"/>
      <c r="AF269" s="22"/>
      <c r="AG269" s="22"/>
      <c r="AH269" s="127"/>
    </row>
    <row r="270" spans="6:34" x14ac:dyDescent="0.2">
      <c r="F270" s="1"/>
      <c r="N270" s="127"/>
      <c r="O270" s="22"/>
      <c r="P270" s="22"/>
      <c r="Q270" s="22"/>
      <c r="R270" s="22"/>
      <c r="S270" s="22"/>
      <c r="T270" s="127"/>
      <c r="U270" s="127"/>
      <c r="V270" s="22"/>
      <c r="W270" s="22"/>
      <c r="X270" s="22"/>
      <c r="Y270" s="22"/>
      <c r="Z270" s="22"/>
      <c r="AA270" s="127"/>
      <c r="AB270" s="127"/>
      <c r="AC270" s="22"/>
      <c r="AD270" s="22"/>
      <c r="AE270" s="22"/>
      <c r="AF270" s="22"/>
      <c r="AG270" s="22"/>
      <c r="AH270" s="127"/>
    </row>
    <row r="271" spans="6:34" x14ac:dyDescent="0.2">
      <c r="F271" s="1"/>
      <c r="N271" s="127"/>
      <c r="O271" s="22"/>
      <c r="P271" s="22"/>
      <c r="Q271" s="22"/>
      <c r="R271" s="22"/>
      <c r="S271" s="22"/>
      <c r="T271" s="127"/>
      <c r="U271" s="127"/>
      <c r="V271" s="22"/>
      <c r="W271" s="22"/>
      <c r="X271" s="22"/>
      <c r="Y271" s="22"/>
      <c r="Z271" s="22"/>
      <c r="AA271" s="127"/>
      <c r="AB271" s="127"/>
      <c r="AC271" s="22"/>
      <c r="AD271" s="22"/>
      <c r="AE271" s="22"/>
      <c r="AF271" s="22"/>
      <c r="AG271" s="22"/>
      <c r="AH271" s="127"/>
    </row>
    <row r="272" spans="6:34" x14ac:dyDescent="0.2">
      <c r="F272" s="1"/>
      <c r="N272" s="127"/>
      <c r="O272" s="22"/>
      <c r="P272" s="22"/>
      <c r="Q272" s="22"/>
      <c r="R272" s="22"/>
      <c r="S272" s="22"/>
      <c r="T272" s="127"/>
      <c r="U272" s="127"/>
      <c r="V272" s="22"/>
      <c r="W272" s="22"/>
      <c r="X272" s="22"/>
      <c r="Y272" s="22"/>
      <c r="Z272" s="22"/>
      <c r="AA272" s="127"/>
      <c r="AB272" s="127"/>
      <c r="AC272" s="22"/>
      <c r="AD272" s="22"/>
      <c r="AE272" s="22"/>
      <c r="AF272" s="22"/>
      <c r="AG272" s="22"/>
      <c r="AH272" s="127"/>
    </row>
    <row r="273" spans="6:34" x14ac:dyDescent="0.2">
      <c r="F273" s="1"/>
      <c r="N273" s="127"/>
      <c r="O273" s="22"/>
      <c r="P273" s="22"/>
      <c r="Q273" s="22"/>
      <c r="R273" s="22"/>
      <c r="S273" s="22"/>
      <c r="T273" s="127"/>
      <c r="U273" s="127"/>
      <c r="V273" s="22"/>
      <c r="W273" s="22"/>
      <c r="X273" s="22"/>
      <c r="Y273" s="22"/>
      <c r="Z273" s="22"/>
      <c r="AA273" s="127"/>
      <c r="AB273" s="127"/>
      <c r="AC273" s="22"/>
      <c r="AD273" s="22"/>
      <c r="AE273" s="22"/>
      <c r="AF273" s="22"/>
      <c r="AG273" s="22"/>
      <c r="AH273" s="127"/>
    </row>
    <row r="274" spans="6:34" x14ac:dyDescent="0.2">
      <c r="F274" s="1"/>
      <c r="N274" s="127"/>
      <c r="O274" s="22"/>
      <c r="P274" s="22"/>
      <c r="Q274" s="22"/>
      <c r="R274" s="22"/>
      <c r="S274" s="22"/>
      <c r="T274" s="127"/>
      <c r="U274" s="127"/>
      <c r="V274" s="22"/>
      <c r="W274" s="22"/>
      <c r="X274" s="22"/>
      <c r="Y274" s="22"/>
      <c r="Z274" s="22"/>
      <c r="AA274" s="127"/>
      <c r="AB274" s="127"/>
      <c r="AC274" s="22"/>
      <c r="AD274" s="22"/>
      <c r="AE274" s="22"/>
      <c r="AF274" s="22"/>
      <c r="AG274" s="22"/>
      <c r="AH274" s="127"/>
    </row>
    <row r="275" spans="6:34" x14ac:dyDescent="0.2">
      <c r="F275" s="1"/>
      <c r="N275" s="127"/>
      <c r="O275" s="22"/>
      <c r="P275" s="22"/>
      <c r="Q275" s="22"/>
      <c r="R275" s="22"/>
      <c r="S275" s="22"/>
      <c r="T275" s="127"/>
      <c r="U275" s="127"/>
      <c r="V275" s="22"/>
      <c r="W275" s="22"/>
      <c r="X275" s="22"/>
      <c r="Y275" s="22"/>
      <c r="Z275" s="22"/>
      <c r="AA275" s="127"/>
      <c r="AB275" s="127"/>
      <c r="AC275" s="22"/>
      <c r="AD275" s="22"/>
      <c r="AE275" s="22"/>
      <c r="AF275" s="22"/>
      <c r="AG275" s="22"/>
      <c r="AH275" s="127"/>
    </row>
    <row r="276" spans="6:34" x14ac:dyDescent="0.2">
      <c r="F276" s="1"/>
      <c r="N276" s="127"/>
      <c r="O276" s="22"/>
      <c r="P276" s="22"/>
      <c r="Q276" s="22"/>
      <c r="R276" s="22"/>
      <c r="S276" s="22"/>
      <c r="T276" s="127"/>
      <c r="U276" s="127"/>
      <c r="V276" s="22"/>
      <c r="W276" s="22"/>
      <c r="X276" s="22"/>
      <c r="Y276" s="22"/>
      <c r="Z276" s="22"/>
      <c r="AA276" s="127"/>
      <c r="AB276" s="127"/>
      <c r="AC276" s="22"/>
      <c r="AD276" s="22"/>
      <c r="AE276" s="22"/>
      <c r="AF276" s="22"/>
      <c r="AG276" s="22"/>
      <c r="AH276" s="127"/>
    </row>
    <row r="277" spans="6:34" x14ac:dyDescent="0.2">
      <c r="F277" s="1"/>
      <c r="N277" s="127"/>
      <c r="O277" s="22"/>
      <c r="P277" s="22"/>
      <c r="Q277" s="22"/>
      <c r="R277" s="22"/>
      <c r="S277" s="22"/>
      <c r="T277" s="127"/>
      <c r="U277" s="127"/>
      <c r="V277" s="22"/>
      <c r="W277" s="22"/>
      <c r="X277" s="22"/>
      <c r="Y277" s="22"/>
      <c r="Z277" s="22"/>
      <c r="AA277" s="127"/>
      <c r="AB277" s="127"/>
      <c r="AC277" s="22"/>
      <c r="AD277" s="22"/>
      <c r="AE277" s="22"/>
      <c r="AF277" s="22"/>
      <c r="AG277" s="22"/>
      <c r="AH277" s="127"/>
    </row>
    <row r="278" spans="6:34" x14ac:dyDescent="0.2">
      <c r="F278" s="1"/>
      <c r="N278" s="127"/>
      <c r="O278" s="22"/>
      <c r="P278" s="22"/>
      <c r="Q278" s="22"/>
      <c r="R278" s="22"/>
      <c r="S278" s="22"/>
      <c r="T278" s="127"/>
      <c r="U278" s="127"/>
      <c r="V278" s="22"/>
      <c r="W278" s="22"/>
      <c r="X278" s="22"/>
      <c r="Y278" s="22"/>
      <c r="Z278" s="22"/>
      <c r="AA278" s="127"/>
      <c r="AB278" s="127"/>
      <c r="AC278" s="22"/>
      <c r="AD278" s="22"/>
      <c r="AE278" s="22"/>
      <c r="AF278" s="22"/>
      <c r="AG278" s="22"/>
      <c r="AH278" s="127"/>
    </row>
    <row r="279" spans="6:34" x14ac:dyDescent="0.2">
      <c r="F279" s="1"/>
      <c r="N279" s="127"/>
      <c r="O279" s="22"/>
      <c r="P279" s="22"/>
      <c r="Q279" s="22"/>
      <c r="R279" s="22"/>
      <c r="S279" s="22"/>
      <c r="T279" s="127"/>
      <c r="U279" s="127"/>
      <c r="V279" s="22"/>
      <c r="W279" s="22"/>
      <c r="X279" s="22"/>
      <c r="Y279" s="22"/>
      <c r="Z279" s="22"/>
      <c r="AA279" s="127"/>
      <c r="AB279" s="127"/>
      <c r="AC279" s="22"/>
      <c r="AD279" s="22"/>
      <c r="AE279" s="22"/>
      <c r="AF279" s="22"/>
      <c r="AG279" s="22"/>
      <c r="AH279" s="127"/>
    </row>
    <row r="280" spans="6:34" x14ac:dyDescent="0.2">
      <c r="F280" s="1"/>
      <c r="N280" s="127"/>
      <c r="O280" s="22"/>
      <c r="P280" s="22"/>
      <c r="Q280" s="22"/>
      <c r="R280" s="22"/>
      <c r="S280" s="22"/>
      <c r="T280" s="127"/>
      <c r="U280" s="127"/>
      <c r="V280" s="22"/>
      <c r="W280" s="22"/>
      <c r="X280" s="22"/>
      <c r="Y280" s="22"/>
      <c r="Z280" s="22"/>
      <c r="AA280" s="127"/>
      <c r="AB280" s="127"/>
      <c r="AC280" s="22"/>
      <c r="AD280" s="22"/>
      <c r="AE280" s="22"/>
      <c r="AF280" s="22"/>
      <c r="AG280" s="22"/>
      <c r="AH280" s="127"/>
    </row>
    <row r="281" spans="6:34" x14ac:dyDescent="0.2">
      <c r="F281" s="1"/>
      <c r="N281" s="127"/>
      <c r="O281" s="22"/>
      <c r="P281" s="22"/>
      <c r="Q281" s="22"/>
      <c r="R281" s="22"/>
      <c r="S281" s="22"/>
      <c r="T281" s="127"/>
      <c r="U281" s="127"/>
      <c r="V281" s="22"/>
      <c r="W281" s="22"/>
      <c r="X281" s="22"/>
      <c r="Y281" s="22"/>
      <c r="Z281" s="22"/>
      <c r="AA281" s="127"/>
      <c r="AB281" s="127"/>
      <c r="AC281" s="22"/>
      <c r="AD281" s="22"/>
      <c r="AE281" s="22"/>
      <c r="AF281" s="22"/>
      <c r="AG281" s="22"/>
      <c r="AH281" s="127"/>
    </row>
    <row r="282" spans="6:34" x14ac:dyDescent="0.2">
      <c r="F282" s="1"/>
      <c r="N282" s="127"/>
      <c r="O282" s="22"/>
      <c r="P282" s="22"/>
      <c r="Q282" s="22"/>
      <c r="R282" s="22"/>
      <c r="S282" s="22"/>
      <c r="T282" s="127"/>
      <c r="U282" s="127"/>
      <c r="V282" s="22"/>
      <c r="W282" s="22"/>
      <c r="X282" s="22"/>
      <c r="Y282" s="22"/>
      <c r="Z282" s="22"/>
      <c r="AA282" s="127"/>
      <c r="AB282" s="127"/>
      <c r="AC282" s="22"/>
      <c r="AD282" s="22"/>
      <c r="AE282" s="22"/>
      <c r="AF282" s="22"/>
      <c r="AG282" s="22"/>
      <c r="AH282" s="127"/>
    </row>
    <row r="283" spans="6:34" x14ac:dyDescent="0.2">
      <c r="F283" s="1"/>
      <c r="N283" s="127"/>
      <c r="O283" s="22"/>
      <c r="P283" s="22"/>
      <c r="Q283" s="22"/>
      <c r="R283" s="22"/>
      <c r="S283" s="22"/>
      <c r="T283" s="127"/>
      <c r="U283" s="127"/>
      <c r="V283" s="22"/>
      <c r="W283" s="22"/>
      <c r="X283" s="22"/>
      <c r="Y283" s="22"/>
      <c r="Z283" s="22"/>
      <c r="AA283" s="127"/>
      <c r="AB283" s="127"/>
      <c r="AC283" s="22"/>
      <c r="AD283" s="22"/>
      <c r="AE283" s="22"/>
      <c r="AF283" s="22"/>
      <c r="AG283" s="22"/>
      <c r="AH283" s="127"/>
    </row>
    <row r="284" spans="6:34" x14ac:dyDescent="0.2">
      <c r="F284" s="1"/>
      <c r="N284" s="127"/>
      <c r="O284" s="22"/>
      <c r="P284" s="22"/>
      <c r="Q284" s="22"/>
      <c r="R284" s="22"/>
      <c r="S284" s="22"/>
      <c r="T284" s="127"/>
      <c r="U284" s="127"/>
      <c r="V284" s="22"/>
      <c r="W284" s="22"/>
      <c r="X284" s="22"/>
      <c r="Y284" s="22"/>
      <c r="Z284" s="22"/>
      <c r="AA284" s="127"/>
      <c r="AB284" s="127"/>
      <c r="AC284" s="22"/>
      <c r="AD284" s="22"/>
      <c r="AE284" s="22"/>
      <c r="AF284" s="22"/>
      <c r="AG284" s="22"/>
      <c r="AH284" s="127"/>
    </row>
    <row r="285" spans="6:34" x14ac:dyDescent="0.2">
      <c r="F285" s="1"/>
      <c r="N285" s="127"/>
      <c r="O285" s="22"/>
      <c r="P285" s="22"/>
      <c r="Q285" s="22"/>
      <c r="R285" s="22"/>
      <c r="S285" s="22"/>
      <c r="T285" s="127"/>
      <c r="U285" s="127"/>
      <c r="V285" s="22"/>
      <c r="W285" s="22"/>
      <c r="X285" s="22"/>
      <c r="Y285" s="22"/>
      <c r="Z285" s="22"/>
      <c r="AA285" s="127"/>
      <c r="AB285" s="127"/>
      <c r="AC285" s="22"/>
      <c r="AD285" s="22"/>
      <c r="AE285" s="22"/>
      <c r="AF285" s="22"/>
      <c r="AG285" s="22"/>
      <c r="AH285" s="127"/>
    </row>
    <row r="286" spans="6:34" x14ac:dyDescent="0.2">
      <c r="F286" s="1"/>
      <c r="N286" s="127"/>
      <c r="O286" s="22"/>
      <c r="P286" s="22"/>
      <c r="Q286" s="22"/>
      <c r="R286" s="22"/>
      <c r="S286" s="22"/>
      <c r="T286" s="127"/>
      <c r="U286" s="127"/>
      <c r="V286" s="22"/>
      <c r="W286" s="22"/>
      <c r="X286" s="22"/>
      <c r="Y286" s="22"/>
      <c r="Z286" s="22"/>
      <c r="AA286" s="127"/>
      <c r="AB286" s="127"/>
      <c r="AC286" s="22"/>
      <c r="AD286" s="22"/>
      <c r="AE286" s="22"/>
      <c r="AF286" s="22"/>
      <c r="AG286" s="22"/>
      <c r="AH286" s="127"/>
    </row>
    <row r="287" spans="6:34" x14ac:dyDescent="0.2">
      <c r="F287" s="1"/>
      <c r="N287" s="127"/>
      <c r="O287" s="22"/>
      <c r="P287" s="22"/>
      <c r="Q287" s="22"/>
      <c r="R287" s="22"/>
      <c r="S287" s="22"/>
      <c r="T287" s="127"/>
      <c r="U287" s="127"/>
      <c r="V287" s="22"/>
      <c r="W287" s="22"/>
      <c r="X287" s="22"/>
      <c r="Y287" s="22"/>
      <c r="Z287" s="22"/>
      <c r="AA287" s="127"/>
      <c r="AB287" s="127"/>
      <c r="AC287" s="22"/>
      <c r="AD287" s="22"/>
      <c r="AE287" s="22"/>
      <c r="AF287" s="22"/>
      <c r="AG287" s="22"/>
      <c r="AH287" s="127"/>
    </row>
    <row r="288" spans="6:34" x14ac:dyDescent="0.2">
      <c r="F288" s="1"/>
      <c r="N288" s="127"/>
      <c r="O288" s="22"/>
      <c r="P288" s="22"/>
      <c r="Q288" s="22"/>
      <c r="R288" s="22"/>
      <c r="S288" s="22"/>
      <c r="T288" s="127"/>
      <c r="U288" s="127"/>
      <c r="V288" s="22"/>
      <c r="W288" s="22"/>
      <c r="X288" s="22"/>
      <c r="Y288" s="22"/>
      <c r="Z288" s="22"/>
      <c r="AA288" s="127"/>
      <c r="AB288" s="127"/>
      <c r="AC288" s="22"/>
      <c r="AD288" s="22"/>
      <c r="AE288" s="22"/>
      <c r="AF288" s="22"/>
      <c r="AG288" s="22"/>
      <c r="AH288" s="127"/>
    </row>
    <row r="289" spans="6:34" x14ac:dyDescent="0.2">
      <c r="F289" s="1"/>
      <c r="N289" s="127"/>
      <c r="O289" s="22"/>
      <c r="P289" s="22"/>
      <c r="Q289" s="22"/>
      <c r="R289" s="22"/>
      <c r="S289" s="22"/>
      <c r="T289" s="127"/>
      <c r="U289" s="127"/>
      <c r="V289" s="22"/>
      <c r="W289" s="22"/>
      <c r="X289" s="22"/>
      <c r="Y289" s="22"/>
      <c r="Z289" s="22"/>
      <c r="AA289" s="127"/>
      <c r="AB289" s="127"/>
      <c r="AC289" s="22"/>
      <c r="AD289" s="22"/>
      <c r="AE289" s="22"/>
      <c r="AF289" s="22"/>
      <c r="AG289" s="22"/>
      <c r="AH289" s="127"/>
    </row>
    <row r="290" spans="6:34" x14ac:dyDescent="0.2">
      <c r="F290" s="1"/>
      <c r="N290" s="127"/>
      <c r="O290" s="22"/>
      <c r="P290" s="22"/>
      <c r="Q290" s="22"/>
      <c r="R290" s="22"/>
      <c r="S290" s="22"/>
      <c r="T290" s="127"/>
      <c r="U290" s="127"/>
      <c r="V290" s="22"/>
      <c r="W290" s="22"/>
      <c r="X290" s="22"/>
      <c r="Y290" s="22"/>
      <c r="Z290" s="22"/>
      <c r="AA290" s="127"/>
      <c r="AB290" s="127"/>
      <c r="AC290" s="22"/>
      <c r="AD290" s="22"/>
      <c r="AE290" s="22"/>
      <c r="AF290" s="22"/>
      <c r="AG290" s="22"/>
      <c r="AH290" s="127"/>
    </row>
    <row r="291" spans="6:34" x14ac:dyDescent="0.2">
      <c r="F291" s="1"/>
      <c r="N291" s="127"/>
      <c r="O291" s="22"/>
      <c r="P291" s="22"/>
      <c r="Q291" s="22"/>
      <c r="R291" s="22"/>
      <c r="S291" s="22"/>
      <c r="T291" s="127"/>
      <c r="U291" s="127"/>
      <c r="V291" s="22"/>
      <c r="W291" s="22"/>
      <c r="X291" s="22"/>
      <c r="Y291" s="22"/>
      <c r="Z291" s="22"/>
      <c r="AA291" s="127"/>
      <c r="AB291" s="127"/>
      <c r="AC291" s="22"/>
      <c r="AD291" s="22"/>
      <c r="AE291" s="22"/>
      <c r="AF291" s="22"/>
      <c r="AG291" s="22"/>
      <c r="AH291" s="127"/>
    </row>
    <row r="292" spans="6:34" x14ac:dyDescent="0.2">
      <c r="F292" s="1"/>
      <c r="N292" s="127"/>
      <c r="O292" s="22"/>
      <c r="P292" s="22"/>
      <c r="Q292" s="22"/>
      <c r="R292" s="22"/>
      <c r="S292" s="22"/>
      <c r="T292" s="127"/>
      <c r="U292" s="127"/>
      <c r="V292" s="22"/>
      <c r="W292" s="22"/>
      <c r="X292" s="22"/>
      <c r="Y292" s="22"/>
      <c r="Z292" s="22"/>
      <c r="AA292" s="127"/>
      <c r="AB292" s="127"/>
      <c r="AC292" s="22"/>
      <c r="AD292" s="22"/>
      <c r="AE292" s="22"/>
      <c r="AF292" s="22"/>
      <c r="AG292" s="22"/>
      <c r="AH292" s="127"/>
    </row>
    <row r="293" spans="6:34" x14ac:dyDescent="0.2">
      <c r="F293" s="1"/>
      <c r="N293" s="127"/>
      <c r="O293" s="22"/>
      <c r="P293" s="22"/>
      <c r="Q293" s="22"/>
      <c r="R293" s="22"/>
      <c r="S293" s="22"/>
      <c r="T293" s="127"/>
      <c r="U293" s="127"/>
      <c r="V293" s="22"/>
      <c r="W293" s="22"/>
      <c r="X293" s="22"/>
      <c r="Y293" s="22"/>
      <c r="Z293" s="22"/>
      <c r="AA293" s="127"/>
      <c r="AB293" s="127"/>
      <c r="AC293" s="22"/>
      <c r="AD293" s="22"/>
      <c r="AE293" s="22"/>
      <c r="AF293" s="22"/>
      <c r="AG293" s="22"/>
      <c r="AH293" s="127"/>
    </row>
    <row r="294" spans="6:34" x14ac:dyDescent="0.2">
      <c r="F294" s="1"/>
      <c r="N294" s="127"/>
      <c r="O294" s="22"/>
      <c r="P294" s="22"/>
      <c r="Q294" s="22"/>
      <c r="R294" s="22"/>
      <c r="S294" s="22"/>
      <c r="T294" s="127"/>
      <c r="U294" s="127"/>
      <c r="V294" s="22"/>
      <c r="W294" s="22"/>
      <c r="X294" s="22"/>
      <c r="Y294" s="22"/>
      <c r="Z294" s="22"/>
      <c r="AA294" s="127"/>
      <c r="AB294" s="127"/>
      <c r="AC294" s="22"/>
      <c r="AD294" s="22"/>
      <c r="AE294" s="22"/>
      <c r="AF294" s="22"/>
      <c r="AG294" s="22"/>
      <c r="AH294" s="127"/>
    </row>
    <row r="295" spans="6:34" x14ac:dyDescent="0.2">
      <c r="F295" s="1"/>
      <c r="N295" s="127"/>
      <c r="O295" s="22"/>
      <c r="P295" s="22"/>
      <c r="Q295" s="22"/>
      <c r="R295" s="22"/>
      <c r="S295" s="22"/>
      <c r="T295" s="127"/>
      <c r="U295" s="127"/>
      <c r="V295" s="22"/>
      <c r="W295" s="22"/>
      <c r="X295" s="22"/>
      <c r="Y295" s="22"/>
      <c r="Z295" s="22"/>
      <c r="AA295" s="127"/>
      <c r="AB295" s="127"/>
      <c r="AC295" s="22"/>
      <c r="AD295" s="22"/>
      <c r="AE295" s="22"/>
      <c r="AF295" s="22"/>
      <c r="AG295" s="22"/>
      <c r="AH295" s="127"/>
    </row>
    <row r="296" spans="6:34" x14ac:dyDescent="0.2">
      <c r="F296" s="1"/>
      <c r="N296" s="127"/>
      <c r="O296" s="22"/>
      <c r="P296" s="22"/>
      <c r="Q296" s="22"/>
      <c r="R296" s="22"/>
      <c r="S296" s="22"/>
      <c r="T296" s="127"/>
      <c r="U296" s="127"/>
      <c r="V296" s="22"/>
      <c r="W296" s="22"/>
      <c r="X296" s="22"/>
      <c r="Y296" s="22"/>
      <c r="Z296" s="22"/>
      <c r="AA296" s="127"/>
      <c r="AB296" s="127"/>
      <c r="AC296" s="22"/>
      <c r="AD296" s="22"/>
      <c r="AE296" s="22"/>
      <c r="AF296" s="22"/>
      <c r="AG296" s="22"/>
      <c r="AH296" s="127"/>
    </row>
    <row r="297" spans="6:34" x14ac:dyDescent="0.2">
      <c r="F297" s="1"/>
      <c r="N297" s="127"/>
      <c r="O297" s="22"/>
      <c r="P297" s="22"/>
      <c r="Q297" s="22"/>
      <c r="R297" s="22"/>
      <c r="S297" s="22"/>
      <c r="T297" s="127"/>
      <c r="U297" s="127"/>
      <c r="V297" s="22"/>
      <c r="W297" s="22"/>
      <c r="X297" s="22"/>
      <c r="Y297" s="22"/>
      <c r="Z297" s="22"/>
      <c r="AA297" s="127"/>
      <c r="AB297" s="127"/>
      <c r="AC297" s="22"/>
      <c r="AD297" s="22"/>
      <c r="AE297" s="22"/>
      <c r="AF297" s="22"/>
      <c r="AG297" s="22"/>
      <c r="AH297" s="127"/>
    </row>
    <row r="298" spans="6:34" x14ac:dyDescent="0.2">
      <c r="F298" s="1"/>
      <c r="N298" s="127"/>
      <c r="O298" s="22"/>
      <c r="P298" s="22"/>
      <c r="Q298" s="22"/>
      <c r="R298" s="22"/>
      <c r="S298" s="22"/>
      <c r="T298" s="127"/>
      <c r="U298" s="127"/>
      <c r="V298" s="22"/>
      <c r="W298" s="22"/>
      <c r="X298" s="22"/>
      <c r="Y298" s="22"/>
      <c r="Z298" s="22"/>
      <c r="AA298" s="127"/>
      <c r="AB298" s="127"/>
      <c r="AC298" s="22"/>
      <c r="AD298" s="22"/>
      <c r="AE298" s="22"/>
      <c r="AF298" s="22"/>
      <c r="AG298" s="22"/>
      <c r="AH298" s="127"/>
    </row>
    <row r="299" spans="6:34" x14ac:dyDescent="0.2">
      <c r="F299" s="1"/>
      <c r="N299" s="127"/>
      <c r="O299" s="22"/>
      <c r="P299" s="22"/>
      <c r="Q299" s="22"/>
      <c r="R299" s="22"/>
      <c r="S299" s="22"/>
      <c r="T299" s="127"/>
      <c r="U299" s="127"/>
      <c r="V299" s="22"/>
      <c r="W299" s="22"/>
      <c r="X299" s="22"/>
      <c r="Y299" s="22"/>
      <c r="Z299" s="22"/>
      <c r="AA299" s="127"/>
      <c r="AB299" s="127"/>
      <c r="AC299" s="22"/>
      <c r="AD299" s="22"/>
      <c r="AE299" s="22"/>
      <c r="AF299" s="22"/>
      <c r="AG299" s="22"/>
      <c r="AH299" s="127"/>
    </row>
    <row r="300" spans="6:34" x14ac:dyDescent="0.2">
      <c r="F300" s="1"/>
      <c r="N300" s="127"/>
      <c r="O300" s="22"/>
      <c r="P300" s="22"/>
      <c r="Q300" s="22"/>
      <c r="R300" s="22"/>
      <c r="S300" s="22"/>
      <c r="T300" s="127"/>
      <c r="U300" s="127"/>
      <c r="V300" s="22"/>
      <c r="W300" s="22"/>
      <c r="X300" s="22"/>
      <c r="Y300" s="22"/>
      <c r="Z300" s="22"/>
      <c r="AA300" s="127"/>
      <c r="AB300" s="127"/>
      <c r="AC300" s="22"/>
      <c r="AD300" s="22"/>
      <c r="AE300" s="22"/>
      <c r="AF300" s="22"/>
      <c r="AG300" s="22"/>
      <c r="AH300" s="127"/>
    </row>
    <row r="301" spans="6:34" x14ac:dyDescent="0.2">
      <c r="F301" s="1"/>
      <c r="N301" s="127"/>
      <c r="O301" s="22"/>
      <c r="P301" s="22"/>
      <c r="Q301" s="22"/>
      <c r="R301" s="22"/>
      <c r="S301" s="22"/>
      <c r="T301" s="127"/>
      <c r="U301" s="127"/>
      <c r="V301" s="22"/>
      <c r="W301" s="22"/>
      <c r="X301" s="22"/>
      <c r="Y301" s="22"/>
      <c r="Z301" s="22"/>
      <c r="AA301" s="127"/>
      <c r="AB301" s="127"/>
      <c r="AC301" s="22"/>
      <c r="AD301" s="22"/>
      <c r="AE301" s="22"/>
      <c r="AF301" s="22"/>
      <c r="AG301" s="22"/>
      <c r="AH301" s="127"/>
    </row>
    <row r="302" spans="6:34" x14ac:dyDescent="0.2">
      <c r="F302" s="1"/>
      <c r="N302" s="127"/>
      <c r="O302" s="22"/>
      <c r="P302" s="22"/>
      <c r="Q302" s="22"/>
      <c r="R302" s="22"/>
      <c r="S302" s="22"/>
      <c r="T302" s="127"/>
      <c r="U302" s="127"/>
      <c r="V302" s="22"/>
      <c r="W302" s="22"/>
      <c r="X302" s="22"/>
      <c r="Y302" s="22"/>
      <c r="Z302" s="22"/>
      <c r="AA302" s="127"/>
      <c r="AB302" s="127"/>
      <c r="AC302" s="22"/>
      <c r="AD302" s="22"/>
      <c r="AE302" s="22"/>
      <c r="AF302" s="22"/>
      <c r="AG302" s="22"/>
      <c r="AH302" s="127"/>
    </row>
    <row r="303" spans="6:34" x14ac:dyDescent="0.2">
      <c r="F303" s="1"/>
      <c r="N303" s="127"/>
      <c r="O303" s="22"/>
      <c r="P303" s="22"/>
      <c r="Q303" s="22"/>
      <c r="R303" s="22"/>
      <c r="S303" s="22"/>
      <c r="T303" s="127"/>
      <c r="U303" s="127"/>
      <c r="V303" s="22"/>
      <c r="W303" s="22"/>
      <c r="X303" s="22"/>
      <c r="Y303" s="22"/>
      <c r="Z303" s="22"/>
      <c r="AA303" s="127"/>
      <c r="AB303" s="127"/>
      <c r="AC303" s="22"/>
      <c r="AD303" s="22"/>
      <c r="AE303" s="22"/>
      <c r="AF303" s="22"/>
      <c r="AG303" s="22"/>
      <c r="AH303" s="127"/>
    </row>
    <row r="304" spans="6:34" x14ac:dyDescent="0.2">
      <c r="F304" s="1"/>
      <c r="N304" s="127"/>
      <c r="O304" s="22"/>
      <c r="P304" s="22"/>
      <c r="Q304" s="22"/>
      <c r="R304" s="22"/>
      <c r="S304" s="22"/>
      <c r="T304" s="127"/>
      <c r="U304" s="127"/>
      <c r="V304" s="22"/>
      <c r="W304" s="22"/>
      <c r="X304" s="22"/>
      <c r="Y304" s="22"/>
      <c r="Z304" s="22"/>
      <c r="AA304" s="127"/>
      <c r="AB304" s="127"/>
      <c r="AC304" s="22"/>
      <c r="AD304" s="22"/>
      <c r="AE304" s="22"/>
      <c r="AF304" s="22"/>
      <c r="AG304" s="22"/>
      <c r="AH304" s="127"/>
    </row>
    <row r="305" spans="6:34" x14ac:dyDescent="0.2">
      <c r="F305" s="1"/>
      <c r="N305" s="127"/>
      <c r="O305" s="22"/>
      <c r="P305" s="22"/>
      <c r="Q305" s="22"/>
      <c r="R305" s="22"/>
      <c r="S305" s="22"/>
      <c r="T305" s="127"/>
      <c r="U305" s="127"/>
      <c r="V305" s="22"/>
      <c r="W305" s="22"/>
      <c r="X305" s="22"/>
      <c r="Y305" s="22"/>
      <c r="Z305" s="22"/>
      <c r="AA305" s="127"/>
      <c r="AB305" s="127"/>
      <c r="AC305" s="22"/>
      <c r="AD305" s="22"/>
      <c r="AE305" s="22"/>
      <c r="AF305" s="22"/>
      <c r="AG305" s="22"/>
      <c r="AH305" s="127"/>
    </row>
    <row r="306" spans="6:34" x14ac:dyDescent="0.2">
      <c r="F306" s="1"/>
      <c r="N306" s="127"/>
      <c r="O306" s="22"/>
      <c r="P306" s="22"/>
      <c r="Q306" s="22"/>
      <c r="R306" s="22"/>
      <c r="S306" s="22"/>
      <c r="T306" s="127"/>
      <c r="U306" s="127"/>
      <c r="V306" s="22"/>
      <c r="W306" s="22"/>
      <c r="X306" s="22"/>
      <c r="Y306" s="22"/>
      <c r="Z306" s="22"/>
      <c r="AA306" s="127"/>
      <c r="AB306" s="127"/>
      <c r="AC306" s="22"/>
      <c r="AD306" s="22"/>
      <c r="AE306" s="22"/>
      <c r="AF306" s="22"/>
      <c r="AG306" s="22"/>
      <c r="AH306" s="127"/>
    </row>
    <row r="307" spans="6:34" x14ac:dyDescent="0.2">
      <c r="F307" s="1"/>
      <c r="N307" s="127"/>
      <c r="O307" s="22"/>
      <c r="P307" s="22"/>
      <c r="Q307" s="22"/>
      <c r="R307" s="22"/>
      <c r="S307" s="22"/>
      <c r="T307" s="127"/>
      <c r="U307" s="127"/>
      <c r="V307" s="22"/>
      <c r="W307" s="22"/>
      <c r="X307" s="22"/>
      <c r="Y307" s="22"/>
      <c r="Z307" s="22"/>
      <c r="AA307" s="127"/>
      <c r="AB307" s="127"/>
      <c r="AC307" s="22"/>
      <c r="AD307" s="22"/>
      <c r="AE307" s="22"/>
      <c r="AF307" s="22"/>
      <c r="AG307" s="22"/>
      <c r="AH307" s="127"/>
    </row>
    <row r="308" spans="6:34" x14ac:dyDescent="0.2">
      <c r="F308" s="1"/>
      <c r="N308" s="127"/>
      <c r="O308" s="22"/>
      <c r="P308" s="22"/>
      <c r="Q308" s="22"/>
      <c r="R308" s="22"/>
      <c r="S308" s="22"/>
      <c r="T308" s="127"/>
      <c r="U308" s="127"/>
      <c r="V308" s="22"/>
      <c r="W308" s="22"/>
      <c r="X308" s="22"/>
      <c r="Y308" s="22"/>
      <c r="Z308" s="22"/>
      <c r="AA308" s="127"/>
      <c r="AB308" s="127"/>
      <c r="AC308" s="22"/>
      <c r="AD308" s="22"/>
      <c r="AE308" s="22"/>
      <c r="AF308" s="22"/>
      <c r="AG308" s="22"/>
      <c r="AH308" s="127"/>
    </row>
    <row r="309" spans="6:34" x14ac:dyDescent="0.2">
      <c r="F309" s="1"/>
      <c r="N309" s="127"/>
      <c r="O309" s="22"/>
      <c r="P309" s="22"/>
      <c r="Q309" s="22"/>
      <c r="R309" s="22"/>
      <c r="S309" s="22"/>
      <c r="T309" s="127"/>
      <c r="U309" s="127"/>
      <c r="V309" s="22"/>
      <c r="W309" s="22"/>
      <c r="X309" s="22"/>
      <c r="Y309" s="22"/>
      <c r="Z309" s="22"/>
      <c r="AA309" s="127"/>
      <c r="AB309" s="127"/>
      <c r="AC309" s="22"/>
      <c r="AD309" s="22"/>
      <c r="AE309" s="22"/>
      <c r="AF309" s="22"/>
      <c r="AG309" s="22"/>
      <c r="AH309" s="127"/>
    </row>
    <row r="310" spans="6:34" x14ac:dyDescent="0.2">
      <c r="F310" s="1"/>
      <c r="N310" s="127"/>
      <c r="O310" s="22"/>
      <c r="P310" s="22"/>
      <c r="Q310" s="22"/>
      <c r="R310" s="22"/>
      <c r="S310" s="22"/>
      <c r="T310" s="127"/>
      <c r="U310" s="127"/>
      <c r="V310" s="22"/>
      <c r="W310" s="22"/>
      <c r="X310" s="22"/>
      <c r="Y310" s="22"/>
      <c r="Z310" s="22"/>
      <c r="AA310" s="127"/>
      <c r="AB310" s="127"/>
      <c r="AC310" s="22"/>
      <c r="AD310" s="22"/>
      <c r="AE310" s="22"/>
      <c r="AF310" s="22"/>
      <c r="AG310" s="22"/>
      <c r="AH310" s="127"/>
    </row>
    <row r="311" spans="6:34" x14ac:dyDescent="0.2">
      <c r="F311" s="1"/>
      <c r="N311" s="127"/>
      <c r="O311" s="22"/>
      <c r="P311" s="22"/>
      <c r="Q311" s="22"/>
      <c r="R311" s="22"/>
      <c r="S311" s="22"/>
      <c r="T311" s="127"/>
      <c r="U311" s="127"/>
      <c r="V311" s="22"/>
      <c r="W311" s="22"/>
      <c r="X311" s="22"/>
      <c r="Y311" s="22"/>
      <c r="Z311" s="22"/>
      <c r="AA311" s="127"/>
      <c r="AB311" s="127"/>
      <c r="AC311" s="22"/>
      <c r="AD311" s="22"/>
      <c r="AE311" s="22"/>
      <c r="AF311" s="22"/>
      <c r="AG311" s="22"/>
      <c r="AH311" s="127"/>
    </row>
    <row r="312" spans="6:34" x14ac:dyDescent="0.2">
      <c r="F312" s="1"/>
      <c r="N312" s="127"/>
      <c r="O312" s="22"/>
      <c r="P312" s="22"/>
      <c r="Q312" s="22"/>
      <c r="R312" s="22"/>
      <c r="S312" s="22"/>
      <c r="T312" s="127"/>
      <c r="U312" s="127"/>
      <c r="V312" s="22"/>
      <c r="W312" s="22"/>
      <c r="X312" s="22"/>
      <c r="Y312" s="22"/>
      <c r="Z312" s="22"/>
      <c r="AA312" s="127"/>
      <c r="AB312" s="127"/>
      <c r="AC312" s="22"/>
      <c r="AD312" s="22"/>
      <c r="AE312" s="22"/>
      <c r="AF312" s="22"/>
      <c r="AG312" s="22"/>
      <c r="AH312" s="127"/>
    </row>
    <row r="313" spans="6:34" x14ac:dyDescent="0.2">
      <c r="F313" s="1"/>
      <c r="N313" s="127"/>
      <c r="O313" s="22"/>
      <c r="P313" s="22"/>
      <c r="Q313" s="22"/>
      <c r="R313" s="22"/>
      <c r="S313" s="22"/>
      <c r="T313" s="127"/>
      <c r="U313" s="127"/>
      <c r="V313" s="22"/>
      <c r="W313" s="22"/>
      <c r="X313" s="22"/>
      <c r="Y313" s="22"/>
      <c r="Z313" s="22"/>
      <c r="AA313" s="127"/>
      <c r="AB313" s="127"/>
      <c r="AC313" s="22"/>
      <c r="AD313" s="22"/>
      <c r="AE313" s="22"/>
      <c r="AF313" s="22"/>
      <c r="AG313" s="22"/>
      <c r="AH313" s="127"/>
    </row>
    <row r="314" spans="6:34" x14ac:dyDescent="0.2">
      <c r="F314" s="1"/>
      <c r="N314" s="127"/>
      <c r="O314" s="22"/>
      <c r="P314" s="22"/>
      <c r="Q314" s="22"/>
      <c r="R314" s="22"/>
      <c r="S314" s="22"/>
      <c r="T314" s="127"/>
      <c r="U314" s="127"/>
      <c r="V314" s="22"/>
      <c r="W314" s="22"/>
      <c r="X314" s="22"/>
      <c r="Y314" s="22"/>
      <c r="Z314" s="22"/>
      <c r="AA314" s="127"/>
      <c r="AB314" s="127"/>
      <c r="AC314" s="22"/>
      <c r="AD314" s="22"/>
      <c r="AE314" s="22"/>
      <c r="AF314" s="22"/>
      <c r="AG314" s="22"/>
      <c r="AH314" s="127"/>
    </row>
    <row r="315" spans="6:34" x14ac:dyDescent="0.2">
      <c r="F315" s="1"/>
      <c r="N315" s="127"/>
      <c r="O315" s="22"/>
      <c r="P315" s="22"/>
      <c r="Q315" s="22"/>
      <c r="R315" s="22"/>
      <c r="S315" s="22"/>
      <c r="T315" s="127"/>
      <c r="U315" s="127"/>
      <c r="V315" s="22"/>
      <c r="W315" s="22"/>
      <c r="X315" s="22"/>
      <c r="Y315" s="22"/>
      <c r="Z315" s="22"/>
      <c r="AA315" s="127"/>
      <c r="AB315" s="127"/>
      <c r="AC315" s="22"/>
      <c r="AD315" s="22"/>
      <c r="AE315" s="22"/>
      <c r="AF315" s="22"/>
      <c r="AG315" s="22"/>
      <c r="AH315" s="127"/>
    </row>
    <row r="316" spans="6:34" x14ac:dyDescent="0.2">
      <c r="F316" s="1"/>
      <c r="N316" s="127"/>
      <c r="O316" s="22"/>
      <c r="P316" s="22"/>
      <c r="Q316" s="22"/>
      <c r="R316" s="22"/>
      <c r="S316" s="22"/>
      <c r="T316" s="127"/>
      <c r="U316" s="127"/>
      <c r="V316" s="22"/>
      <c r="W316" s="22"/>
      <c r="X316" s="22"/>
      <c r="Y316" s="22"/>
      <c r="Z316" s="22"/>
      <c r="AA316" s="127"/>
      <c r="AB316" s="127"/>
      <c r="AC316" s="22"/>
      <c r="AD316" s="22"/>
      <c r="AE316" s="22"/>
      <c r="AF316" s="22"/>
      <c r="AG316" s="22"/>
      <c r="AH316" s="127"/>
    </row>
    <row r="317" spans="6:34" x14ac:dyDescent="0.2">
      <c r="F317" s="1"/>
      <c r="N317" s="127"/>
      <c r="O317" s="22"/>
      <c r="P317" s="22"/>
      <c r="Q317" s="22"/>
      <c r="R317" s="22"/>
      <c r="S317" s="22"/>
      <c r="T317" s="127"/>
      <c r="U317" s="127"/>
      <c r="V317" s="22"/>
      <c r="W317" s="22"/>
      <c r="X317" s="22"/>
      <c r="Y317" s="22"/>
      <c r="Z317" s="22"/>
      <c r="AA317" s="127"/>
      <c r="AB317" s="127"/>
      <c r="AC317" s="22"/>
      <c r="AD317" s="22"/>
      <c r="AE317" s="22"/>
      <c r="AF317" s="22"/>
      <c r="AG317" s="22"/>
      <c r="AH317" s="127"/>
    </row>
    <row r="318" spans="6:34" x14ac:dyDescent="0.2">
      <c r="F318" s="1"/>
      <c r="N318" s="127"/>
      <c r="O318" s="22"/>
      <c r="P318" s="22"/>
      <c r="Q318" s="22"/>
      <c r="R318" s="22"/>
      <c r="S318" s="22"/>
      <c r="T318" s="127"/>
      <c r="U318" s="127"/>
      <c r="V318" s="22"/>
      <c r="W318" s="22"/>
      <c r="X318" s="22"/>
      <c r="Y318" s="22"/>
      <c r="Z318" s="22"/>
      <c r="AA318" s="127"/>
      <c r="AB318" s="127"/>
      <c r="AC318" s="22"/>
      <c r="AD318" s="22"/>
      <c r="AE318" s="22"/>
      <c r="AF318" s="22"/>
      <c r="AG318" s="22"/>
      <c r="AH318" s="127"/>
    </row>
    <row r="319" spans="6:34" x14ac:dyDescent="0.2">
      <c r="F319" s="1"/>
      <c r="N319" s="127"/>
      <c r="O319" s="22"/>
      <c r="P319" s="22"/>
      <c r="Q319" s="22"/>
      <c r="R319" s="22"/>
      <c r="S319" s="22"/>
      <c r="T319" s="127"/>
      <c r="U319" s="127"/>
      <c r="V319" s="22"/>
      <c r="W319" s="22"/>
      <c r="X319" s="22"/>
      <c r="Y319" s="22"/>
      <c r="Z319" s="22"/>
      <c r="AA319" s="127"/>
      <c r="AB319" s="127"/>
      <c r="AC319" s="22"/>
      <c r="AD319" s="22"/>
      <c r="AE319" s="22"/>
      <c r="AF319" s="22"/>
      <c r="AG319" s="22"/>
      <c r="AH319" s="127"/>
    </row>
    <row r="320" spans="6:34" x14ac:dyDescent="0.2">
      <c r="F320" s="1"/>
      <c r="N320" s="127"/>
      <c r="O320" s="22"/>
      <c r="P320" s="22"/>
      <c r="Q320" s="22"/>
      <c r="R320" s="22"/>
      <c r="S320" s="22"/>
      <c r="T320" s="127"/>
      <c r="U320" s="127"/>
      <c r="V320" s="22"/>
      <c r="W320" s="22"/>
      <c r="X320" s="22"/>
      <c r="Y320" s="22"/>
      <c r="Z320" s="22"/>
      <c r="AA320" s="127"/>
      <c r="AB320" s="127"/>
      <c r="AC320" s="22"/>
      <c r="AD320" s="22"/>
      <c r="AE320" s="22"/>
      <c r="AF320" s="22"/>
      <c r="AG320" s="22"/>
      <c r="AH320" s="127"/>
    </row>
    <row r="321" spans="6:34" x14ac:dyDescent="0.2">
      <c r="F321" s="1"/>
      <c r="N321" s="127"/>
      <c r="O321" s="22"/>
      <c r="P321" s="22"/>
      <c r="Q321" s="22"/>
      <c r="R321" s="22"/>
      <c r="S321" s="22"/>
      <c r="T321" s="127"/>
      <c r="U321" s="127"/>
      <c r="V321" s="22"/>
      <c r="W321" s="22"/>
      <c r="X321" s="22"/>
      <c r="Y321" s="22"/>
      <c r="Z321" s="22"/>
      <c r="AA321" s="127"/>
      <c r="AB321" s="127"/>
      <c r="AC321" s="22"/>
      <c r="AD321" s="22"/>
      <c r="AE321" s="22"/>
      <c r="AF321" s="22"/>
      <c r="AG321" s="22"/>
      <c r="AH321" s="127"/>
    </row>
    <row r="322" spans="6:34" x14ac:dyDescent="0.2">
      <c r="F322" s="1"/>
      <c r="N322" s="127"/>
      <c r="O322" s="22"/>
      <c r="P322" s="22"/>
      <c r="Q322" s="22"/>
      <c r="R322" s="22"/>
      <c r="S322" s="22"/>
      <c r="T322" s="127"/>
      <c r="U322" s="127"/>
      <c r="V322" s="22"/>
      <c r="W322" s="22"/>
      <c r="X322" s="22"/>
      <c r="Y322" s="22"/>
      <c r="Z322" s="22"/>
      <c r="AA322" s="127"/>
      <c r="AB322" s="127"/>
      <c r="AC322" s="22"/>
      <c r="AD322" s="22"/>
      <c r="AE322" s="22"/>
      <c r="AF322" s="22"/>
      <c r="AG322" s="22"/>
      <c r="AH322" s="127"/>
    </row>
    <row r="323" spans="6:34" x14ac:dyDescent="0.2">
      <c r="F323" s="1"/>
      <c r="N323" s="127"/>
      <c r="O323" s="22"/>
      <c r="P323" s="22"/>
      <c r="Q323" s="22"/>
      <c r="R323" s="22"/>
      <c r="S323" s="22"/>
      <c r="T323" s="127"/>
      <c r="U323" s="127"/>
      <c r="V323" s="22"/>
      <c r="W323" s="22"/>
      <c r="X323" s="22"/>
      <c r="Y323" s="22"/>
      <c r="Z323" s="22"/>
      <c r="AA323" s="127"/>
      <c r="AB323" s="127"/>
      <c r="AC323" s="22"/>
      <c r="AD323" s="22"/>
      <c r="AE323" s="22"/>
      <c r="AF323" s="22"/>
      <c r="AG323" s="22"/>
      <c r="AH323" s="127"/>
    </row>
    <row r="324" spans="6:34" x14ac:dyDescent="0.2">
      <c r="F324" s="1"/>
      <c r="N324" s="127"/>
      <c r="O324" s="22"/>
      <c r="P324" s="22"/>
      <c r="Q324" s="22"/>
      <c r="R324" s="22"/>
      <c r="S324" s="22"/>
      <c r="T324" s="127"/>
      <c r="U324" s="127"/>
      <c r="V324" s="22"/>
      <c r="W324" s="22"/>
      <c r="X324" s="22"/>
      <c r="Y324" s="22"/>
      <c r="Z324" s="22"/>
      <c r="AA324" s="127"/>
      <c r="AB324" s="127"/>
      <c r="AC324" s="22"/>
      <c r="AD324" s="22"/>
      <c r="AE324" s="22"/>
      <c r="AF324" s="22"/>
      <c r="AG324" s="22"/>
      <c r="AH324" s="127"/>
    </row>
    <row r="325" spans="6:34" x14ac:dyDescent="0.2">
      <c r="F325" s="1"/>
      <c r="N325" s="127"/>
      <c r="O325" s="22"/>
      <c r="P325" s="22"/>
      <c r="Q325" s="22"/>
      <c r="R325" s="22"/>
      <c r="S325" s="22"/>
      <c r="T325" s="127"/>
      <c r="U325" s="127"/>
      <c r="V325" s="22"/>
      <c r="W325" s="22"/>
      <c r="X325" s="22"/>
      <c r="Y325" s="22"/>
      <c r="Z325" s="22"/>
      <c r="AA325" s="127"/>
      <c r="AB325" s="127"/>
      <c r="AC325" s="22"/>
      <c r="AD325" s="22"/>
      <c r="AE325" s="22"/>
      <c r="AF325" s="22"/>
      <c r="AG325" s="22"/>
      <c r="AH325" s="127"/>
    </row>
    <row r="326" spans="6:34" x14ac:dyDescent="0.2">
      <c r="F326" s="1"/>
      <c r="N326" s="127"/>
      <c r="O326" s="22"/>
      <c r="P326" s="22"/>
      <c r="Q326" s="22"/>
      <c r="R326" s="22"/>
      <c r="S326" s="22"/>
      <c r="T326" s="127"/>
      <c r="U326" s="127"/>
      <c r="V326" s="22"/>
      <c r="W326" s="22"/>
      <c r="X326" s="22"/>
      <c r="Y326" s="22"/>
      <c r="Z326" s="22"/>
      <c r="AA326" s="127"/>
      <c r="AB326" s="127"/>
      <c r="AC326" s="22"/>
      <c r="AD326" s="22"/>
      <c r="AE326" s="22"/>
      <c r="AF326" s="22"/>
      <c r="AG326" s="22"/>
      <c r="AH326" s="127"/>
    </row>
    <row r="327" spans="6:34" x14ac:dyDescent="0.2">
      <c r="F327" s="1"/>
      <c r="N327" s="127"/>
      <c r="O327" s="22"/>
      <c r="P327" s="22"/>
      <c r="Q327" s="22"/>
      <c r="R327" s="22"/>
      <c r="S327" s="22"/>
      <c r="T327" s="127"/>
      <c r="U327" s="127"/>
      <c r="V327" s="22"/>
      <c r="W327" s="22"/>
      <c r="X327" s="22"/>
      <c r="Y327" s="22"/>
      <c r="Z327" s="22"/>
      <c r="AA327" s="127"/>
      <c r="AB327" s="127"/>
      <c r="AC327" s="22"/>
      <c r="AD327" s="22"/>
      <c r="AE327" s="22"/>
      <c r="AF327" s="22"/>
      <c r="AG327" s="22"/>
      <c r="AH327" s="127"/>
    </row>
    <row r="328" spans="6:34" x14ac:dyDescent="0.2">
      <c r="F328" s="1"/>
      <c r="N328" s="127"/>
      <c r="O328" s="22"/>
      <c r="P328" s="22"/>
      <c r="Q328" s="22"/>
      <c r="R328" s="22"/>
      <c r="S328" s="22"/>
      <c r="T328" s="127"/>
      <c r="U328" s="127"/>
      <c r="V328" s="22"/>
      <c r="W328" s="22"/>
      <c r="X328" s="22"/>
      <c r="Y328" s="22"/>
      <c r="Z328" s="22"/>
      <c r="AA328" s="127"/>
      <c r="AB328" s="127"/>
      <c r="AC328" s="22"/>
      <c r="AD328" s="22"/>
      <c r="AE328" s="22"/>
      <c r="AF328" s="22"/>
      <c r="AG328" s="22"/>
      <c r="AH328" s="127"/>
    </row>
    <row r="329" spans="6:34" x14ac:dyDescent="0.2">
      <c r="F329" s="1"/>
      <c r="N329" s="127"/>
      <c r="O329" s="22"/>
      <c r="P329" s="22"/>
      <c r="Q329" s="22"/>
      <c r="R329" s="22"/>
      <c r="S329" s="22"/>
      <c r="T329" s="127"/>
      <c r="U329" s="127"/>
      <c r="V329" s="22"/>
      <c r="W329" s="22"/>
      <c r="X329" s="22"/>
      <c r="Y329" s="22"/>
      <c r="Z329" s="22"/>
      <c r="AA329" s="127"/>
      <c r="AB329" s="127"/>
      <c r="AC329" s="22"/>
      <c r="AD329" s="22"/>
      <c r="AE329" s="22"/>
      <c r="AF329" s="22"/>
      <c r="AG329" s="22"/>
      <c r="AH329" s="127"/>
    </row>
    <row r="330" spans="6:34" x14ac:dyDescent="0.2">
      <c r="F330" s="1"/>
      <c r="N330" s="127"/>
      <c r="O330" s="22"/>
      <c r="P330" s="22"/>
      <c r="Q330" s="22"/>
      <c r="R330" s="22"/>
      <c r="S330" s="22"/>
      <c r="T330" s="127"/>
      <c r="U330" s="127"/>
      <c r="V330" s="22"/>
      <c r="W330" s="22"/>
      <c r="X330" s="22"/>
      <c r="Y330" s="22"/>
      <c r="Z330" s="22"/>
      <c r="AA330" s="127"/>
      <c r="AB330" s="127"/>
      <c r="AC330" s="22"/>
      <c r="AD330" s="22"/>
      <c r="AE330" s="22"/>
      <c r="AF330" s="22"/>
      <c r="AG330" s="22"/>
      <c r="AH330" s="127"/>
    </row>
    <row r="331" spans="6:34" x14ac:dyDescent="0.2">
      <c r="F331" s="1"/>
      <c r="N331" s="127"/>
      <c r="O331" s="22"/>
      <c r="P331" s="22"/>
      <c r="Q331" s="22"/>
      <c r="R331" s="22"/>
      <c r="S331" s="22"/>
      <c r="T331" s="127"/>
      <c r="U331" s="127"/>
      <c r="V331" s="22"/>
      <c r="W331" s="22"/>
      <c r="X331" s="22"/>
      <c r="Y331" s="22"/>
      <c r="Z331" s="22"/>
      <c r="AA331" s="127"/>
      <c r="AB331" s="127"/>
      <c r="AC331" s="22"/>
      <c r="AD331" s="22"/>
      <c r="AE331" s="22"/>
      <c r="AF331" s="22"/>
      <c r="AG331" s="22"/>
      <c r="AH331" s="127"/>
    </row>
    <row r="332" spans="6:34" x14ac:dyDescent="0.2">
      <c r="F332" s="1"/>
      <c r="N332" s="127"/>
      <c r="O332" s="22"/>
      <c r="P332" s="22"/>
      <c r="Q332" s="22"/>
      <c r="R332" s="22"/>
      <c r="S332" s="22"/>
      <c r="T332" s="127"/>
      <c r="U332" s="127"/>
      <c r="V332" s="22"/>
      <c r="W332" s="22"/>
      <c r="X332" s="22"/>
      <c r="Y332" s="22"/>
      <c r="Z332" s="22"/>
      <c r="AA332" s="127"/>
      <c r="AB332" s="127"/>
      <c r="AC332" s="22"/>
      <c r="AD332" s="22"/>
      <c r="AE332" s="22"/>
      <c r="AF332" s="22"/>
      <c r="AG332" s="22"/>
      <c r="AH332" s="127"/>
    </row>
    <row r="333" spans="6:34" x14ac:dyDescent="0.2">
      <c r="F333" s="1"/>
      <c r="N333" s="127"/>
      <c r="O333" s="22"/>
      <c r="P333" s="22"/>
      <c r="Q333" s="22"/>
      <c r="R333" s="22"/>
      <c r="S333" s="22"/>
      <c r="T333" s="127"/>
      <c r="U333" s="127"/>
      <c r="V333" s="22"/>
      <c r="W333" s="22"/>
      <c r="X333" s="22"/>
      <c r="Y333" s="22"/>
      <c r="Z333" s="22"/>
      <c r="AA333" s="127"/>
      <c r="AB333" s="127"/>
      <c r="AC333" s="22"/>
      <c r="AD333" s="22"/>
      <c r="AE333" s="22"/>
      <c r="AF333" s="22"/>
      <c r="AG333" s="22"/>
      <c r="AH333" s="127"/>
    </row>
    <row r="334" spans="6:34" x14ac:dyDescent="0.2">
      <c r="F334" s="1"/>
      <c r="N334" s="127"/>
      <c r="O334" s="22"/>
      <c r="P334" s="22"/>
      <c r="Q334" s="22"/>
      <c r="R334" s="22"/>
      <c r="S334" s="22"/>
      <c r="T334" s="127"/>
      <c r="U334" s="127"/>
      <c r="V334" s="22"/>
      <c r="W334" s="22"/>
      <c r="X334" s="22"/>
      <c r="Y334" s="22"/>
      <c r="Z334" s="22"/>
      <c r="AA334" s="127"/>
      <c r="AB334" s="127"/>
      <c r="AC334" s="22"/>
      <c r="AD334" s="22"/>
      <c r="AE334" s="22"/>
      <c r="AF334" s="22"/>
      <c r="AG334" s="22"/>
      <c r="AH334" s="127"/>
    </row>
    <row r="335" spans="6:34" x14ac:dyDescent="0.2">
      <c r="F335" s="1"/>
      <c r="N335" s="127"/>
      <c r="O335" s="22"/>
      <c r="P335" s="22"/>
      <c r="Q335" s="22"/>
      <c r="R335" s="22"/>
      <c r="S335" s="22"/>
      <c r="T335" s="127"/>
      <c r="U335" s="127"/>
      <c r="V335" s="22"/>
      <c r="W335" s="22"/>
      <c r="X335" s="22"/>
      <c r="Y335" s="22"/>
      <c r="Z335" s="22"/>
      <c r="AA335" s="127"/>
      <c r="AB335" s="127"/>
      <c r="AC335" s="22"/>
      <c r="AD335" s="22"/>
      <c r="AE335" s="22"/>
      <c r="AF335" s="22"/>
      <c r="AG335" s="22"/>
      <c r="AH335" s="127"/>
    </row>
    <row r="336" spans="6:34" x14ac:dyDescent="0.2">
      <c r="F336" s="1"/>
      <c r="N336" s="127"/>
      <c r="O336" s="22"/>
      <c r="P336" s="22"/>
      <c r="Q336" s="22"/>
      <c r="R336" s="22"/>
      <c r="S336" s="22"/>
      <c r="T336" s="127"/>
      <c r="U336" s="127"/>
      <c r="V336" s="22"/>
      <c r="W336" s="22"/>
      <c r="X336" s="22"/>
      <c r="Y336" s="22"/>
      <c r="Z336" s="22"/>
      <c r="AA336" s="127"/>
      <c r="AB336" s="127"/>
      <c r="AC336" s="22"/>
      <c r="AD336" s="22"/>
      <c r="AE336" s="22"/>
      <c r="AF336" s="22"/>
      <c r="AG336" s="22"/>
      <c r="AH336" s="127"/>
    </row>
    <row r="337" spans="6:34" x14ac:dyDescent="0.2">
      <c r="F337" s="1"/>
      <c r="N337" s="127"/>
      <c r="O337" s="22"/>
      <c r="P337" s="22"/>
      <c r="Q337" s="22"/>
      <c r="R337" s="22"/>
      <c r="S337" s="22"/>
      <c r="T337" s="127"/>
      <c r="U337" s="127"/>
      <c r="V337" s="22"/>
      <c r="W337" s="22"/>
      <c r="X337" s="22"/>
      <c r="Y337" s="22"/>
      <c r="Z337" s="22"/>
      <c r="AA337" s="127"/>
      <c r="AB337" s="127"/>
      <c r="AC337" s="22"/>
      <c r="AD337" s="22"/>
      <c r="AE337" s="22"/>
      <c r="AF337" s="22"/>
      <c r="AG337" s="22"/>
      <c r="AH337" s="127"/>
    </row>
    <row r="338" spans="6:34" x14ac:dyDescent="0.2">
      <c r="F338" s="1"/>
      <c r="N338" s="127"/>
      <c r="O338" s="22"/>
      <c r="P338" s="22"/>
      <c r="Q338" s="22"/>
      <c r="R338" s="22"/>
      <c r="S338" s="22"/>
      <c r="T338" s="127"/>
      <c r="U338" s="127"/>
      <c r="V338" s="22"/>
      <c r="W338" s="22"/>
      <c r="X338" s="22"/>
      <c r="Y338" s="22"/>
      <c r="Z338" s="22"/>
      <c r="AA338" s="127"/>
      <c r="AB338" s="127"/>
      <c r="AC338" s="22"/>
      <c r="AD338" s="22"/>
      <c r="AE338" s="22"/>
      <c r="AF338" s="22"/>
      <c r="AG338" s="22"/>
      <c r="AH338" s="127"/>
    </row>
    <row r="339" spans="6:34" x14ac:dyDescent="0.2">
      <c r="F339" s="1"/>
      <c r="N339" s="127"/>
      <c r="O339" s="22"/>
      <c r="P339" s="22"/>
      <c r="Q339" s="22"/>
      <c r="R339" s="22"/>
      <c r="S339" s="22"/>
      <c r="T339" s="127"/>
      <c r="U339" s="127"/>
      <c r="V339" s="22"/>
      <c r="W339" s="22"/>
      <c r="X339" s="22"/>
      <c r="Y339" s="22"/>
      <c r="Z339" s="22"/>
      <c r="AA339" s="127"/>
      <c r="AB339" s="127"/>
      <c r="AC339" s="22"/>
      <c r="AD339" s="22"/>
      <c r="AE339" s="22"/>
      <c r="AF339" s="22"/>
      <c r="AG339" s="22"/>
      <c r="AH339" s="127"/>
    </row>
    <row r="340" spans="6:34" x14ac:dyDescent="0.2">
      <c r="F340" s="1"/>
      <c r="N340" s="127"/>
      <c r="O340" s="22"/>
      <c r="P340" s="22"/>
      <c r="Q340" s="22"/>
      <c r="R340" s="22"/>
      <c r="S340" s="22"/>
      <c r="T340" s="127"/>
      <c r="U340" s="127"/>
      <c r="V340" s="22"/>
      <c r="W340" s="22"/>
      <c r="X340" s="22"/>
      <c r="Y340" s="22"/>
      <c r="Z340" s="22"/>
      <c r="AA340" s="127"/>
      <c r="AB340" s="127"/>
      <c r="AC340" s="22"/>
      <c r="AD340" s="22"/>
      <c r="AE340" s="22"/>
      <c r="AF340" s="22"/>
      <c r="AG340" s="22"/>
      <c r="AH340" s="127"/>
    </row>
    <row r="341" spans="6:34" x14ac:dyDescent="0.2">
      <c r="F341" s="1"/>
      <c r="N341" s="127"/>
      <c r="O341" s="22"/>
      <c r="P341" s="22"/>
      <c r="Q341" s="22"/>
      <c r="R341" s="22"/>
      <c r="S341" s="22"/>
      <c r="T341" s="127"/>
      <c r="U341" s="127"/>
      <c r="V341" s="22"/>
      <c r="W341" s="22"/>
      <c r="X341" s="22"/>
      <c r="Y341" s="22"/>
      <c r="Z341" s="22"/>
      <c r="AA341" s="127"/>
      <c r="AB341" s="127"/>
      <c r="AC341" s="22"/>
      <c r="AD341" s="22"/>
      <c r="AE341" s="22"/>
      <c r="AF341" s="22"/>
      <c r="AG341" s="22"/>
      <c r="AH341" s="127"/>
    </row>
    <row r="342" spans="6:34" x14ac:dyDescent="0.2">
      <c r="F342" s="1"/>
      <c r="N342" s="127"/>
      <c r="O342" s="22"/>
      <c r="P342" s="22"/>
      <c r="Q342" s="22"/>
      <c r="R342" s="22"/>
      <c r="S342" s="22"/>
      <c r="T342" s="127"/>
      <c r="U342" s="127"/>
      <c r="V342" s="22"/>
      <c r="W342" s="22"/>
      <c r="X342" s="22"/>
      <c r="Y342" s="22"/>
      <c r="Z342" s="22"/>
      <c r="AA342" s="127"/>
      <c r="AB342" s="127"/>
      <c r="AC342" s="22"/>
      <c r="AD342" s="22"/>
      <c r="AE342" s="22"/>
      <c r="AF342" s="22"/>
      <c r="AG342" s="22"/>
      <c r="AH342" s="127"/>
    </row>
    <row r="343" spans="6:34" x14ac:dyDescent="0.2">
      <c r="F343" s="1"/>
      <c r="N343" s="127"/>
      <c r="O343" s="22"/>
      <c r="P343" s="22"/>
      <c r="Q343" s="22"/>
      <c r="R343" s="22"/>
      <c r="S343" s="22"/>
      <c r="T343" s="127"/>
      <c r="U343" s="127"/>
      <c r="V343" s="22"/>
      <c r="W343" s="22"/>
      <c r="X343" s="22"/>
      <c r="Y343" s="22"/>
      <c r="Z343" s="22"/>
      <c r="AA343" s="127"/>
      <c r="AB343" s="127"/>
      <c r="AC343" s="22"/>
      <c r="AD343" s="22"/>
      <c r="AE343" s="22"/>
      <c r="AF343" s="22"/>
      <c r="AG343" s="22"/>
      <c r="AH343" s="127"/>
    </row>
    <row r="344" spans="6:34" x14ac:dyDescent="0.2">
      <c r="F344" s="1"/>
      <c r="N344" s="127"/>
      <c r="O344" s="22"/>
      <c r="P344" s="22"/>
      <c r="Q344" s="22"/>
      <c r="R344" s="22"/>
      <c r="S344" s="22"/>
      <c r="T344" s="127"/>
      <c r="U344" s="127"/>
      <c r="V344" s="22"/>
      <c r="W344" s="22"/>
      <c r="X344" s="22"/>
      <c r="Y344" s="22"/>
      <c r="Z344" s="22"/>
      <c r="AA344" s="127"/>
      <c r="AB344" s="127"/>
      <c r="AC344" s="22"/>
      <c r="AD344" s="22"/>
      <c r="AE344" s="22"/>
      <c r="AF344" s="22"/>
      <c r="AG344" s="22"/>
      <c r="AH344" s="127"/>
    </row>
    <row r="345" spans="6:34" x14ac:dyDescent="0.2">
      <c r="F345" s="1"/>
      <c r="N345" s="127"/>
      <c r="O345" s="22"/>
      <c r="P345" s="22"/>
      <c r="Q345" s="22"/>
      <c r="R345" s="22"/>
      <c r="S345" s="22"/>
      <c r="T345" s="127"/>
      <c r="U345" s="127"/>
      <c r="V345" s="22"/>
      <c r="W345" s="22"/>
      <c r="X345" s="22"/>
      <c r="Y345" s="22"/>
      <c r="Z345" s="22"/>
      <c r="AA345" s="127"/>
      <c r="AB345" s="127"/>
      <c r="AC345" s="22"/>
      <c r="AD345" s="22"/>
      <c r="AE345" s="22"/>
      <c r="AF345" s="22"/>
      <c r="AG345" s="22"/>
      <c r="AH345" s="127"/>
    </row>
    <row r="346" spans="6:34" x14ac:dyDescent="0.2">
      <c r="F346" s="1"/>
      <c r="N346" s="127"/>
      <c r="O346" s="22"/>
      <c r="P346" s="22"/>
      <c r="Q346" s="22"/>
      <c r="R346" s="22"/>
      <c r="S346" s="22"/>
      <c r="T346" s="127"/>
      <c r="U346" s="127"/>
      <c r="V346" s="22"/>
      <c r="W346" s="22"/>
      <c r="X346" s="22"/>
      <c r="Y346" s="22"/>
      <c r="Z346" s="22"/>
      <c r="AA346" s="127"/>
      <c r="AB346" s="127"/>
      <c r="AC346" s="22"/>
      <c r="AD346" s="22"/>
      <c r="AE346" s="22"/>
      <c r="AF346" s="22"/>
      <c r="AG346" s="22"/>
      <c r="AH346" s="127"/>
    </row>
    <row r="347" spans="6:34" x14ac:dyDescent="0.2">
      <c r="F347" s="1"/>
      <c r="N347" s="127"/>
      <c r="O347" s="22"/>
      <c r="P347" s="22"/>
      <c r="Q347" s="22"/>
      <c r="R347" s="22"/>
      <c r="S347" s="22"/>
      <c r="T347" s="127"/>
      <c r="U347" s="127"/>
      <c r="V347" s="22"/>
      <c r="W347" s="22"/>
      <c r="X347" s="22"/>
      <c r="Y347" s="22"/>
      <c r="Z347" s="22"/>
      <c r="AA347" s="127"/>
      <c r="AB347" s="127"/>
      <c r="AC347" s="22"/>
      <c r="AD347" s="22"/>
      <c r="AE347" s="22"/>
      <c r="AF347" s="22"/>
      <c r="AG347" s="22"/>
      <c r="AH347" s="127"/>
    </row>
    <row r="348" spans="6:34" x14ac:dyDescent="0.2">
      <c r="F348" s="1"/>
      <c r="N348" s="127"/>
      <c r="O348" s="22"/>
      <c r="P348" s="22"/>
      <c r="Q348" s="22"/>
      <c r="R348" s="22"/>
      <c r="S348" s="22"/>
      <c r="T348" s="127"/>
      <c r="U348" s="127"/>
      <c r="V348" s="22"/>
      <c r="W348" s="22"/>
      <c r="X348" s="22"/>
      <c r="Y348" s="22"/>
      <c r="Z348" s="22"/>
      <c r="AA348" s="127"/>
      <c r="AB348" s="127"/>
      <c r="AC348" s="22"/>
      <c r="AD348" s="22"/>
      <c r="AE348" s="22"/>
      <c r="AF348" s="22"/>
      <c r="AG348" s="22"/>
      <c r="AH348" s="127"/>
    </row>
    <row r="349" spans="6:34" x14ac:dyDescent="0.2">
      <c r="F349" s="1"/>
      <c r="N349" s="127"/>
      <c r="O349" s="22"/>
      <c r="P349" s="22"/>
      <c r="Q349" s="22"/>
      <c r="R349" s="22"/>
      <c r="S349" s="22"/>
      <c r="T349" s="127"/>
      <c r="U349" s="127"/>
      <c r="V349" s="22"/>
      <c r="W349" s="22"/>
      <c r="X349" s="22"/>
      <c r="Y349" s="22"/>
      <c r="Z349" s="22"/>
      <c r="AA349" s="127"/>
      <c r="AB349" s="127"/>
      <c r="AC349" s="22"/>
      <c r="AD349" s="22"/>
      <c r="AE349" s="22"/>
      <c r="AF349" s="22"/>
      <c r="AG349" s="22"/>
      <c r="AH349" s="127"/>
    </row>
    <row r="350" spans="6:34" x14ac:dyDescent="0.2">
      <c r="F350" s="1"/>
      <c r="N350" s="127"/>
      <c r="O350" s="22"/>
      <c r="P350" s="22"/>
      <c r="Q350" s="22"/>
      <c r="R350" s="22"/>
      <c r="S350" s="22"/>
      <c r="T350" s="127"/>
      <c r="U350" s="127"/>
      <c r="V350" s="22"/>
      <c r="W350" s="22"/>
      <c r="X350" s="22"/>
      <c r="Y350" s="22"/>
      <c r="Z350" s="22"/>
      <c r="AA350" s="127"/>
      <c r="AB350" s="127"/>
      <c r="AC350" s="22"/>
      <c r="AD350" s="22"/>
      <c r="AE350" s="22"/>
      <c r="AF350" s="22"/>
      <c r="AG350" s="22"/>
      <c r="AH350" s="127"/>
    </row>
    <row r="351" spans="6:34" x14ac:dyDescent="0.2">
      <c r="F351" s="1"/>
      <c r="N351" s="127"/>
      <c r="O351" s="22"/>
      <c r="P351" s="22"/>
      <c r="Q351" s="22"/>
      <c r="R351" s="22"/>
      <c r="S351" s="22"/>
      <c r="T351" s="127"/>
      <c r="U351" s="127"/>
      <c r="V351" s="22"/>
      <c r="W351" s="22"/>
      <c r="X351" s="22"/>
      <c r="Y351" s="22"/>
      <c r="Z351" s="22"/>
      <c r="AA351" s="127"/>
      <c r="AB351" s="127"/>
      <c r="AC351" s="22"/>
      <c r="AD351" s="22"/>
      <c r="AE351" s="22"/>
      <c r="AF351" s="22"/>
      <c r="AG351" s="22"/>
      <c r="AH351" s="127"/>
    </row>
    <row r="352" spans="6:34" x14ac:dyDescent="0.2">
      <c r="F352" s="1"/>
      <c r="N352" s="127"/>
      <c r="O352" s="22"/>
      <c r="P352" s="22"/>
      <c r="Q352" s="22"/>
      <c r="R352" s="22"/>
      <c r="S352" s="22"/>
      <c r="T352" s="127"/>
      <c r="U352" s="127"/>
      <c r="V352" s="22"/>
      <c r="W352" s="22"/>
      <c r="X352" s="22"/>
      <c r="Y352" s="22"/>
      <c r="Z352" s="22"/>
      <c r="AA352" s="127"/>
      <c r="AB352" s="127"/>
      <c r="AC352" s="22"/>
      <c r="AD352" s="22"/>
      <c r="AE352" s="22"/>
      <c r="AF352" s="22"/>
      <c r="AG352" s="22"/>
      <c r="AH352" s="127"/>
    </row>
    <row r="353" spans="6:34" x14ac:dyDescent="0.2">
      <c r="F353" s="1"/>
      <c r="N353" s="127"/>
      <c r="O353" s="22"/>
      <c r="P353" s="22"/>
      <c r="Q353" s="22"/>
      <c r="R353" s="22"/>
      <c r="S353" s="22"/>
      <c r="T353" s="127"/>
      <c r="U353" s="127"/>
      <c r="V353" s="22"/>
      <c r="W353" s="22"/>
      <c r="X353" s="22"/>
      <c r="Y353" s="22"/>
      <c r="Z353" s="22"/>
      <c r="AA353" s="127"/>
      <c r="AB353" s="127"/>
      <c r="AC353" s="22"/>
      <c r="AD353" s="22"/>
      <c r="AE353" s="22"/>
      <c r="AF353" s="22"/>
      <c r="AG353" s="22"/>
      <c r="AH353" s="127"/>
    </row>
    <row r="354" spans="6:34" x14ac:dyDescent="0.2">
      <c r="F354" s="1"/>
      <c r="N354" s="127"/>
      <c r="O354" s="22"/>
      <c r="P354" s="22"/>
      <c r="Q354" s="22"/>
      <c r="R354" s="22"/>
      <c r="S354" s="22"/>
      <c r="T354" s="127"/>
      <c r="U354" s="127"/>
      <c r="V354" s="22"/>
      <c r="W354" s="22"/>
      <c r="X354" s="22"/>
      <c r="Y354" s="22"/>
      <c r="Z354" s="22"/>
      <c r="AA354" s="127"/>
      <c r="AB354" s="127"/>
      <c r="AC354" s="22"/>
      <c r="AD354" s="22"/>
      <c r="AE354" s="22"/>
      <c r="AF354" s="22"/>
      <c r="AG354" s="22"/>
      <c r="AH354" s="127"/>
    </row>
    <row r="355" spans="6:34" x14ac:dyDescent="0.2">
      <c r="F355" s="1"/>
      <c r="N355" s="127"/>
      <c r="O355" s="22"/>
      <c r="P355" s="22"/>
      <c r="Q355" s="22"/>
      <c r="R355" s="22"/>
      <c r="S355" s="22"/>
      <c r="T355" s="127"/>
      <c r="U355" s="127"/>
      <c r="V355" s="22"/>
      <c r="W355" s="22"/>
      <c r="X355" s="22"/>
      <c r="Y355" s="22"/>
      <c r="Z355" s="22"/>
      <c r="AA355" s="127"/>
      <c r="AB355" s="127"/>
      <c r="AC355" s="22"/>
      <c r="AD355" s="22"/>
      <c r="AE355" s="22"/>
      <c r="AF355" s="22"/>
      <c r="AG355" s="22"/>
      <c r="AH355" s="127"/>
    </row>
    <row r="356" spans="6:34" x14ac:dyDescent="0.2">
      <c r="F356" s="1"/>
      <c r="N356" s="127"/>
      <c r="O356" s="22"/>
      <c r="P356" s="22"/>
      <c r="Q356" s="22"/>
      <c r="R356" s="22"/>
      <c r="S356" s="22"/>
      <c r="T356" s="127"/>
      <c r="U356" s="127"/>
      <c r="V356" s="22"/>
      <c r="W356" s="22"/>
      <c r="X356" s="22"/>
      <c r="Y356" s="22"/>
      <c r="Z356" s="22"/>
      <c r="AA356" s="127"/>
      <c r="AB356" s="127"/>
      <c r="AC356" s="22"/>
      <c r="AD356" s="22"/>
      <c r="AE356" s="22"/>
      <c r="AF356" s="22"/>
      <c r="AG356" s="22"/>
      <c r="AH356" s="127"/>
    </row>
    <row r="357" spans="6:34" x14ac:dyDescent="0.2">
      <c r="F357" s="1"/>
      <c r="N357" s="127"/>
      <c r="O357" s="22"/>
      <c r="P357" s="22"/>
      <c r="Q357" s="22"/>
      <c r="R357" s="22"/>
      <c r="S357" s="22"/>
      <c r="T357" s="127"/>
      <c r="U357" s="127"/>
      <c r="V357" s="22"/>
      <c r="W357" s="22"/>
      <c r="X357" s="22"/>
      <c r="Y357" s="22"/>
      <c r="Z357" s="22"/>
      <c r="AA357" s="127"/>
      <c r="AB357" s="127"/>
      <c r="AC357" s="22"/>
      <c r="AD357" s="22"/>
      <c r="AE357" s="22"/>
      <c r="AF357" s="22"/>
      <c r="AG357" s="22"/>
      <c r="AH357" s="127"/>
    </row>
    <row r="358" spans="6:34" x14ac:dyDescent="0.2">
      <c r="F358" s="1"/>
      <c r="N358" s="127"/>
      <c r="O358" s="22"/>
      <c r="P358" s="22"/>
      <c r="Q358" s="22"/>
      <c r="R358" s="22"/>
      <c r="S358" s="22"/>
      <c r="T358" s="127"/>
      <c r="U358" s="127"/>
      <c r="V358" s="22"/>
      <c r="W358" s="22"/>
      <c r="X358" s="22"/>
      <c r="Y358" s="22"/>
      <c r="Z358" s="22"/>
      <c r="AA358" s="127"/>
      <c r="AB358" s="127"/>
      <c r="AC358" s="22"/>
      <c r="AD358" s="22"/>
      <c r="AE358" s="22"/>
      <c r="AF358" s="22"/>
      <c r="AG358" s="22"/>
      <c r="AH358" s="127"/>
    </row>
    <row r="359" spans="6:34" x14ac:dyDescent="0.2">
      <c r="F359" s="1"/>
      <c r="N359" s="127"/>
      <c r="O359" s="22"/>
      <c r="P359" s="22"/>
      <c r="Q359" s="22"/>
      <c r="R359" s="22"/>
      <c r="S359" s="22"/>
      <c r="T359" s="127"/>
      <c r="U359" s="127"/>
      <c r="V359" s="22"/>
      <c r="W359" s="22"/>
      <c r="X359" s="22"/>
      <c r="Y359" s="22"/>
      <c r="Z359" s="22"/>
      <c r="AA359" s="127"/>
      <c r="AB359" s="127"/>
      <c r="AC359" s="22"/>
      <c r="AD359" s="22"/>
      <c r="AE359" s="22"/>
      <c r="AF359" s="22"/>
      <c r="AG359" s="22"/>
      <c r="AH359" s="127"/>
    </row>
    <row r="360" spans="6:34" x14ac:dyDescent="0.2">
      <c r="F360" s="1"/>
      <c r="N360" s="127"/>
      <c r="O360" s="22"/>
      <c r="P360" s="22"/>
      <c r="Q360" s="22"/>
      <c r="R360" s="22"/>
      <c r="S360" s="22"/>
      <c r="T360" s="127"/>
      <c r="U360" s="127"/>
      <c r="V360" s="22"/>
      <c r="W360" s="22"/>
      <c r="X360" s="22"/>
      <c r="Y360" s="22"/>
      <c r="Z360" s="22"/>
      <c r="AA360" s="127"/>
      <c r="AB360" s="127"/>
      <c r="AC360" s="22"/>
      <c r="AD360" s="22"/>
      <c r="AE360" s="22"/>
      <c r="AF360" s="22"/>
      <c r="AG360" s="22"/>
      <c r="AH360" s="127"/>
    </row>
    <row r="361" spans="6:34" x14ac:dyDescent="0.2">
      <c r="F361" s="1"/>
      <c r="N361" s="127"/>
      <c r="O361" s="22"/>
      <c r="P361" s="22"/>
      <c r="Q361" s="22"/>
      <c r="R361" s="22"/>
      <c r="S361" s="22"/>
      <c r="T361" s="127"/>
      <c r="U361" s="127"/>
      <c r="V361" s="22"/>
      <c r="W361" s="22"/>
      <c r="X361" s="22"/>
      <c r="Y361" s="22"/>
      <c r="Z361" s="22"/>
      <c r="AA361" s="127"/>
      <c r="AB361" s="127"/>
      <c r="AC361" s="22"/>
      <c r="AD361" s="22"/>
      <c r="AE361" s="22"/>
      <c r="AF361" s="22"/>
      <c r="AG361" s="22"/>
      <c r="AH361" s="127"/>
    </row>
    <row r="362" spans="6:34" x14ac:dyDescent="0.2">
      <c r="F362" s="1"/>
      <c r="N362" s="127"/>
      <c r="O362" s="22"/>
      <c r="P362" s="22"/>
      <c r="Q362" s="22"/>
      <c r="R362" s="22"/>
      <c r="S362" s="22"/>
      <c r="T362" s="127"/>
      <c r="U362" s="127"/>
      <c r="V362" s="22"/>
      <c r="W362" s="22"/>
      <c r="X362" s="22"/>
      <c r="Y362" s="22"/>
      <c r="Z362" s="22"/>
      <c r="AA362" s="127"/>
      <c r="AB362" s="127"/>
      <c r="AC362" s="22"/>
      <c r="AD362" s="22"/>
      <c r="AE362" s="22"/>
      <c r="AF362" s="22"/>
      <c r="AG362" s="22"/>
      <c r="AH362" s="127"/>
    </row>
    <row r="363" spans="6:34" x14ac:dyDescent="0.2">
      <c r="F363" s="1"/>
      <c r="N363" s="127"/>
      <c r="O363" s="22"/>
      <c r="P363" s="22"/>
      <c r="Q363" s="22"/>
      <c r="R363" s="22"/>
      <c r="S363" s="22"/>
      <c r="T363" s="127"/>
      <c r="U363" s="127"/>
      <c r="V363" s="22"/>
      <c r="W363" s="22"/>
      <c r="X363" s="22"/>
      <c r="Y363" s="22"/>
      <c r="Z363" s="22"/>
      <c r="AA363" s="127"/>
      <c r="AB363" s="127"/>
      <c r="AC363" s="22"/>
      <c r="AD363" s="22"/>
      <c r="AE363" s="22"/>
      <c r="AF363" s="22"/>
      <c r="AG363" s="22"/>
      <c r="AH363" s="127"/>
    </row>
    <row r="364" spans="6:34" x14ac:dyDescent="0.2">
      <c r="F364" s="1"/>
      <c r="N364" s="127"/>
      <c r="O364" s="22"/>
      <c r="P364" s="22"/>
      <c r="Q364" s="22"/>
      <c r="R364" s="22"/>
      <c r="S364" s="22"/>
      <c r="T364" s="127"/>
      <c r="U364" s="127"/>
      <c r="V364" s="22"/>
      <c r="W364" s="22"/>
      <c r="X364" s="22"/>
      <c r="Y364" s="22"/>
      <c r="Z364" s="22"/>
      <c r="AA364" s="127"/>
      <c r="AB364" s="127"/>
      <c r="AC364" s="22"/>
      <c r="AD364" s="22"/>
      <c r="AE364" s="22"/>
      <c r="AF364" s="22"/>
      <c r="AG364" s="22"/>
      <c r="AH364" s="127"/>
    </row>
    <row r="365" spans="6:34" x14ac:dyDescent="0.2">
      <c r="F365" s="1"/>
      <c r="N365" s="127"/>
      <c r="O365" s="22"/>
      <c r="P365" s="22"/>
      <c r="Q365" s="22"/>
      <c r="R365" s="22"/>
      <c r="S365" s="22"/>
      <c r="T365" s="127"/>
      <c r="U365" s="127"/>
      <c r="V365" s="22"/>
      <c r="W365" s="22"/>
      <c r="X365" s="22"/>
      <c r="Y365" s="22"/>
      <c r="Z365" s="22"/>
      <c r="AA365" s="127"/>
      <c r="AB365" s="127"/>
      <c r="AC365" s="22"/>
      <c r="AD365" s="22"/>
      <c r="AE365" s="22"/>
      <c r="AF365" s="22"/>
      <c r="AG365" s="22"/>
      <c r="AH365" s="127"/>
    </row>
    <row r="366" spans="6:34" x14ac:dyDescent="0.2">
      <c r="F366" s="1"/>
      <c r="N366" s="127"/>
      <c r="O366" s="22"/>
      <c r="P366" s="22"/>
      <c r="Q366" s="22"/>
      <c r="R366" s="22"/>
      <c r="S366" s="22"/>
      <c r="T366" s="127"/>
      <c r="U366" s="127"/>
      <c r="V366" s="22"/>
      <c r="W366" s="22"/>
      <c r="X366" s="22"/>
      <c r="Y366" s="22"/>
      <c r="Z366" s="22"/>
      <c r="AA366" s="127"/>
      <c r="AB366" s="127"/>
      <c r="AC366" s="22"/>
      <c r="AD366" s="22"/>
      <c r="AE366" s="22"/>
      <c r="AF366" s="22"/>
      <c r="AG366" s="22"/>
      <c r="AH366" s="127"/>
    </row>
    <row r="367" spans="6:34" x14ac:dyDescent="0.2">
      <c r="F367" s="1"/>
      <c r="N367" s="127"/>
      <c r="O367" s="22"/>
      <c r="P367" s="22"/>
      <c r="Q367" s="22"/>
      <c r="R367" s="22"/>
      <c r="S367" s="22"/>
      <c r="T367" s="127"/>
      <c r="U367" s="127"/>
      <c r="V367" s="22"/>
      <c r="W367" s="22"/>
      <c r="X367" s="22"/>
      <c r="Y367" s="22"/>
      <c r="Z367" s="22"/>
      <c r="AA367" s="127"/>
      <c r="AB367" s="127"/>
      <c r="AC367" s="22"/>
      <c r="AD367" s="22"/>
      <c r="AE367" s="22"/>
      <c r="AF367" s="22"/>
      <c r="AG367" s="22"/>
      <c r="AH367" s="127"/>
    </row>
    <row r="368" spans="6:34" x14ac:dyDescent="0.2">
      <c r="F368" s="1"/>
      <c r="N368" s="127"/>
      <c r="O368" s="22"/>
      <c r="P368" s="22"/>
      <c r="Q368" s="22"/>
      <c r="R368" s="22"/>
      <c r="S368" s="22"/>
      <c r="T368" s="127"/>
      <c r="U368" s="127"/>
      <c r="V368" s="22"/>
      <c r="W368" s="22"/>
      <c r="X368" s="22"/>
      <c r="Y368" s="22"/>
      <c r="Z368" s="22"/>
      <c r="AA368" s="127"/>
      <c r="AB368" s="127"/>
      <c r="AC368" s="22"/>
      <c r="AD368" s="22"/>
      <c r="AE368" s="22"/>
      <c r="AF368" s="22"/>
      <c r="AG368" s="22"/>
      <c r="AH368" s="127"/>
    </row>
    <row r="369" spans="6:34" x14ac:dyDescent="0.2">
      <c r="F369" s="1"/>
      <c r="N369" s="127"/>
      <c r="O369" s="22"/>
      <c r="P369" s="22"/>
      <c r="Q369" s="22"/>
      <c r="R369" s="22"/>
      <c r="S369" s="22"/>
      <c r="T369" s="127"/>
      <c r="U369" s="127"/>
      <c r="V369" s="22"/>
      <c r="W369" s="22"/>
      <c r="X369" s="22"/>
      <c r="Y369" s="22"/>
      <c r="Z369" s="22"/>
      <c r="AA369" s="127"/>
      <c r="AB369" s="127"/>
      <c r="AC369" s="22"/>
      <c r="AD369" s="22"/>
      <c r="AE369" s="22"/>
      <c r="AF369" s="22"/>
      <c r="AG369" s="22"/>
      <c r="AH369" s="127"/>
    </row>
    <row r="370" spans="6:34" x14ac:dyDescent="0.2">
      <c r="F370" s="1"/>
      <c r="N370" s="127"/>
      <c r="O370" s="22"/>
      <c r="P370" s="22"/>
      <c r="Q370" s="22"/>
      <c r="R370" s="22"/>
      <c r="S370" s="22"/>
      <c r="T370" s="127"/>
      <c r="U370" s="127"/>
      <c r="V370" s="22"/>
      <c r="W370" s="22"/>
      <c r="X370" s="22"/>
      <c r="Y370" s="22"/>
      <c r="Z370" s="22"/>
      <c r="AA370" s="127"/>
      <c r="AB370" s="127"/>
      <c r="AC370" s="22"/>
      <c r="AD370" s="22"/>
      <c r="AE370" s="22"/>
      <c r="AF370" s="22"/>
      <c r="AG370" s="22"/>
      <c r="AH370" s="127"/>
    </row>
    <row r="371" spans="6:34" x14ac:dyDescent="0.2">
      <c r="F371" s="1"/>
      <c r="N371" s="127"/>
      <c r="O371" s="22"/>
      <c r="P371" s="22"/>
      <c r="Q371" s="22"/>
      <c r="R371" s="22"/>
      <c r="S371" s="22"/>
      <c r="T371" s="127"/>
      <c r="U371" s="127"/>
      <c r="V371" s="22"/>
      <c r="W371" s="22"/>
      <c r="X371" s="22"/>
      <c r="Y371" s="22"/>
      <c r="Z371" s="22"/>
      <c r="AA371" s="127"/>
      <c r="AB371" s="127"/>
      <c r="AC371" s="22"/>
      <c r="AD371" s="22"/>
      <c r="AE371" s="22"/>
      <c r="AF371" s="22"/>
      <c r="AG371" s="22"/>
      <c r="AH371" s="127"/>
    </row>
    <row r="372" spans="6:34" x14ac:dyDescent="0.2">
      <c r="F372" s="1"/>
      <c r="N372" s="127"/>
      <c r="O372" s="22"/>
      <c r="P372" s="22"/>
      <c r="Q372" s="22"/>
      <c r="R372" s="22"/>
      <c r="S372" s="22"/>
      <c r="T372" s="127"/>
      <c r="U372" s="127"/>
      <c r="V372" s="22"/>
      <c r="W372" s="22"/>
      <c r="X372" s="22"/>
      <c r="Y372" s="22"/>
      <c r="Z372" s="22"/>
      <c r="AA372" s="127"/>
      <c r="AB372" s="127"/>
      <c r="AC372" s="22"/>
      <c r="AD372" s="22"/>
      <c r="AE372" s="22"/>
      <c r="AF372" s="22"/>
      <c r="AG372" s="22"/>
      <c r="AH372" s="127"/>
    </row>
    <row r="373" spans="6:34" x14ac:dyDescent="0.2">
      <c r="F373" s="1"/>
      <c r="N373" s="127"/>
      <c r="O373" s="22"/>
      <c r="P373" s="22"/>
      <c r="Q373" s="22"/>
      <c r="R373" s="22"/>
      <c r="S373" s="22"/>
      <c r="T373" s="127"/>
      <c r="U373" s="127"/>
      <c r="V373" s="22"/>
      <c r="W373" s="22"/>
      <c r="X373" s="22"/>
      <c r="Y373" s="22"/>
      <c r="Z373" s="22"/>
      <c r="AA373" s="127"/>
      <c r="AB373" s="127"/>
      <c r="AC373" s="22"/>
      <c r="AD373" s="22"/>
      <c r="AE373" s="22"/>
      <c r="AF373" s="22"/>
      <c r="AG373" s="22"/>
      <c r="AH373" s="127"/>
    </row>
    <row r="374" spans="6:34" x14ac:dyDescent="0.2">
      <c r="F374" s="1"/>
      <c r="N374" s="127"/>
      <c r="O374" s="22"/>
      <c r="P374" s="22"/>
      <c r="Q374" s="22"/>
      <c r="R374" s="22"/>
      <c r="S374" s="22"/>
      <c r="T374" s="127"/>
      <c r="U374" s="127"/>
      <c r="V374" s="22"/>
      <c r="W374" s="22"/>
      <c r="X374" s="22"/>
      <c r="Y374" s="22"/>
      <c r="Z374" s="22"/>
      <c r="AA374" s="127"/>
      <c r="AB374" s="127"/>
      <c r="AC374" s="22"/>
      <c r="AD374" s="22"/>
      <c r="AE374" s="22"/>
      <c r="AF374" s="22"/>
      <c r="AG374" s="22"/>
      <c r="AH374" s="127"/>
    </row>
    <row r="375" spans="6:34" x14ac:dyDescent="0.2">
      <c r="F375" s="1"/>
      <c r="N375" s="127"/>
      <c r="O375" s="22"/>
      <c r="P375" s="22"/>
      <c r="Q375" s="22"/>
      <c r="R375" s="22"/>
      <c r="S375" s="22"/>
      <c r="T375" s="127"/>
      <c r="U375" s="127"/>
      <c r="V375" s="22"/>
      <c r="W375" s="22"/>
      <c r="X375" s="22"/>
      <c r="Y375" s="22"/>
      <c r="Z375" s="22"/>
      <c r="AA375" s="127"/>
      <c r="AB375" s="127"/>
      <c r="AC375" s="22"/>
      <c r="AD375" s="22"/>
      <c r="AE375" s="22"/>
      <c r="AF375" s="22"/>
      <c r="AG375" s="22"/>
      <c r="AH375" s="127"/>
    </row>
    <row r="376" spans="6:34" x14ac:dyDescent="0.2">
      <c r="F376" s="1"/>
      <c r="N376" s="127"/>
      <c r="O376" s="22"/>
      <c r="P376" s="22"/>
      <c r="Q376" s="22"/>
      <c r="R376" s="22"/>
      <c r="S376" s="22"/>
      <c r="T376" s="127"/>
      <c r="U376" s="127"/>
      <c r="V376" s="22"/>
      <c r="W376" s="22"/>
      <c r="X376" s="22"/>
      <c r="Y376" s="22"/>
      <c r="Z376" s="22"/>
      <c r="AA376" s="127"/>
      <c r="AB376" s="127"/>
      <c r="AC376" s="22"/>
      <c r="AD376" s="22"/>
      <c r="AE376" s="22"/>
      <c r="AF376" s="22"/>
      <c r="AG376" s="22"/>
      <c r="AH376" s="127"/>
    </row>
    <row r="377" spans="6:34" x14ac:dyDescent="0.2">
      <c r="F377" s="1"/>
      <c r="N377" s="127"/>
      <c r="O377" s="22"/>
      <c r="P377" s="22"/>
      <c r="Q377" s="22"/>
      <c r="R377" s="22"/>
      <c r="S377" s="22"/>
      <c r="T377" s="127"/>
      <c r="U377" s="127"/>
      <c r="V377" s="22"/>
      <c r="W377" s="22"/>
      <c r="X377" s="22"/>
      <c r="Y377" s="22"/>
      <c r="Z377" s="22"/>
      <c r="AA377" s="127"/>
      <c r="AB377" s="127"/>
      <c r="AC377" s="22"/>
      <c r="AD377" s="22"/>
      <c r="AE377" s="22"/>
      <c r="AF377" s="22"/>
      <c r="AG377" s="22"/>
      <c r="AH377" s="127"/>
    </row>
    <row r="378" spans="6:34" x14ac:dyDescent="0.2">
      <c r="F378" s="1"/>
      <c r="N378" s="127"/>
      <c r="O378" s="22"/>
      <c r="P378" s="22"/>
      <c r="Q378" s="22"/>
      <c r="R378" s="22"/>
      <c r="S378" s="22"/>
      <c r="T378" s="127"/>
      <c r="U378" s="127"/>
      <c r="V378" s="22"/>
      <c r="W378" s="22"/>
      <c r="X378" s="22"/>
      <c r="Y378" s="22"/>
      <c r="Z378" s="22"/>
      <c r="AA378" s="127"/>
      <c r="AB378" s="127"/>
      <c r="AC378" s="22"/>
      <c r="AD378" s="22"/>
      <c r="AE378" s="22"/>
      <c r="AF378" s="22"/>
      <c r="AG378" s="22"/>
      <c r="AH378" s="127"/>
    </row>
    <row r="379" spans="6:34" x14ac:dyDescent="0.2">
      <c r="F379" s="1"/>
      <c r="N379" s="127"/>
      <c r="O379" s="22"/>
      <c r="P379" s="22"/>
      <c r="Q379" s="22"/>
      <c r="R379" s="22"/>
      <c r="S379" s="22"/>
      <c r="T379" s="127"/>
      <c r="U379" s="127"/>
      <c r="V379" s="22"/>
      <c r="W379" s="22"/>
      <c r="X379" s="22"/>
      <c r="Y379" s="22"/>
      <c r="Z379" s="22"/>
      <c r="AA379" s="127"/>
      <c r="AB379" s="127"/>
      <c r="AC379" s="22"/>
      <c r="AD379" s="22"/>
      <c r="AE379" s="22"/>
      <c r="AF379" s="22"/>
      <c r="AG379" s="22"/>
      <c r="AH379" s="127"/>
    </row>
    <row r="380" spans="6:34" x14ac:dyDescent="0.2">
      <c r="F380" s="1"/>
      <c r="N380" s="127"/>
      <c r="O380" s="22"/>
      <c r="P380" s="22"/>
      <c r="Q380" s="22"/>
      <c r="R380" s="22"/>
      <c r="S380" s="22"/>
      <c r="T380" s="127"/>
      <c r="U380" s="127"/>
      <c r="V380" s="22"/>
      <c r="W380" s="22"/>
      <c r="X380" s="22"/>
      <c r="Y380" s="22"/>
      <c r="Z380" s="22"/>
      <c r="AA380" s="127"/>
      <c r="AB380" s="127"/>
      <c r="AC380" s="22"/>
      <c r="AD380" s="22"/>
      <c r="AE380" s="22"/>
      <c r="AF380" s="22"/>
      <c r="AG380" s="22"/>
      <c r="AH380" s="127"/>
    </row>
    <row r="381" spans="6:34" x14ac:dyDescent="0.2">
      <c r="F381" s="1"/>
      <c r="N381" s="127"/>
      <c r="O381" s="22"/>
      <c r="P381" s="22"/>
      <c r="Q381" s="22"/>
      <c r="R381" s="22"/>
      <c r="S381" s="22"/>
      <c r="T381" s="127"/>
      <c r="U381" s="127"/>
      <c r="V381" s="22"/>
      <c r="W381" s="22"/>
      <c r="X381" s="22"/>
      <c r="Y381" s="22"/>
      <c r="Z381" s="22"/>
      <c r="AA381" s="127"/>
      <c r="AB381" s="127"/>
      <c r="AC381" s="22"/>
      <c r="AD381" s="22"/>
      <c r="AE381" s="22"/>
      <c r="AF381" s="22"/>
      <c r="AG381" s="22"/>
      <c r="AH381" s="127"/>
    </row>
    <row r="382" spans="6:34" x14ac:dyDescent="0.2">
      <c r="F382" s="1"/>
      <c r="N382" s="127"/>
      <c r="O382" s="22"/>
      <c r="P382" s="22"/>
      <c r="Q382" s="22"/>
      <c r="R382" s="22"/>
      <c r="S382" s="22"/>
      <c r="T382" s="127"/>
      <c r="U382" s="127"/>
      <c r="V382" s="22"/>
      <c r="W382" s="22"/>
      <c r="X382" s="22"/>
      <c r="Y382" s="22"/>
      <c r="Z382" s="22"/>
      <c r="AA382" s="127"/>
      <c r="AB382" s="127"/>
      <c r="AC382" s="22"/>
      <c r="AD382" s="22"/>
      <c r="AE382" s="22"/>
      <c r="AF382" s="22"/>
      <c r="AG382" s="22"/>
      <c r="AH382" s="127"/>
    </row>
    <row r="383" spans="6:34" x14ac:dyDescent="0.2">
      <c r="F383" s="1"/>
      <c r="N383" s="127"/>
      <c r="O383" s="22"/>
      <c r="P383" s="22"/>
      <c r="Q383" s="22"/>
      <c r="R383" s="22"/>
      <c r="S383" s="22"/>
      <c r="T383" s="127"/>
      <c r="U383" s="127"/>
      <c r="V383" s="22"/>
      <c r="W383" s="22"/>
      <c r="X383" s="22"/>
      <c r="Y383" s="22"/>
      <c r="Z383" s="22"/>
      <c r="AA383" s="127"/>
      <c r="AB383" s="127"/>
      <c r="AC383" s="22"/>
      <c r="AD383" s="22"/>
      <c r="AE383" s="22"/>
      <c r="AF383" s="22"/>
      <c r="AG383" s="22"/>
      <c r="AH383" s="127"/>
    </row>
    <row r="384" spans="6:34" x14ac:dyDescent="0.2">
      <c r="F384" s="1"/>
      <c r="N384" s="127"/>
      <c r="O384" s="22"/>
      <c r="P384" s="22"/>
      <c r="Q384" s="22"/>
      <c r="R384" s="22"/>
      <c r="S384" s="22"/>
      <c r="T384" s="127"/>
      <c r="U384" s="127"/>
      <c r="V384" s="22"/>
      <c r="W384" s="22"/>
      <c r="X384" s="22"/>
      <c r="Y384" s="22"/>
      <c r="Z384" s="22"/>
      <c r="AA384" s="127"/>
      <c r="AB384" s="127"/>
      <c r="AC384" s="22"/>
      <c r="AD384" s="22"/>
      <c r="AE384" s="22"/>
      <c r="AF384" s="22"/>
      <c r="AG384" s="22"/>
      <c r="AH384" s="127"/>
    </row>
    <row r="385" spans="6:34" x14ac:dyDescent="0.2">
      <c r="F385" s="1"/>
      <c r="N385" s="127"/>
      <c r="O385" s="22"/>
      <c r="P385" s="22"/>
      <c r="Q385" s="22"/>
      <c r="R385" s="22"/>
      <c r="S385" s="22"/>
      <c r="T385" s="127"/>
      <c r="U385" s="127"/>
      <c r="V385" s="22"/>
      <c r="W385" s="22"/>
      <c r="X385" s="22"/>
      <c r="Y385" s="22"/>
      <c r="Z385" s="22"/>
      <c r="AA385" s="127"/>
      <c r="AB385" s="127"/>
      <c r="AC385" s="22"/>
      <c r="AD385" s="22"/>
      <c r="AE385" s="22"/>
      <c r="AF385" s="22"/>
      <c r="AG385" s="22"/>
      <c r="AH385" s="127"/>
    </row>
    <row r="386" spans="6:34" x14ac:dyDescent="0.2">
      <c r="F386" s="1"/>
      <c r="N386" s="127"/>
      <c r="O386" s="22"/>
      <c r="P386" s="22"/>
      <c r="Q386" s="22"/>
      <c r="R386" s="22"/>
      <c r="S386" s="22"/>
      <c r="T386" s="127"/>
      <c r="U386" s="127"/>
      <c r="V386" s="22"/>
      <c r="W386" s="22"/>
      <c r="X386" s="22"/>
      <c r="Y386" s="22"/>
      <c r="Z386" s="22"/>
      <c r="AA386" s="127"/>
      <c r="AB386" s="127"/>
      <c r="AC386" s="22"/>
      <c r="AD386" s="22"/>
      <c r="AE386" s="22"/>
      <c r="AF386" s="22"/>
      <c r="AG386" s="22"/>
      <c r="AH386" s="127"/>
    </row>
    <row r="387" spans="6:34" x14ac:dyDescent="0.2">
      <c r="F387" s="1"/>
      <c r="N387" s="127"/>
      <c r="O387" s="22"/>
      <c r="P387" s="22"/>
      <c r="Q387" s="22"/>
      <c r="R387" s="22"/>
      <c r="S387" s="22"/>
      <c r="T387" s="127"/>
      <c r="U387" s="127"/>
      <c r="V387" s="22"/>
      <c r="W387" s="22"/>
      <c r="X387" s="22"/>
      <c r="Y387" s="22"/>
      <c r="Z387" s="22"/>
      <c r="AA387" s="127"/>
      <c r="AB387" s="127"/>
      <c r="AC387" s="22"/>
      <c r="AD387" s="22"/>
      <c r="AE387" s="22"/>
      <c r="AF387" s="22"/>
      <c r="AG387" s="22"/>
      <c r="AH387" s="127"/>
    </row>
    <row r="388" spans="6:34" x14ac:dyDescent="0.2">
      <c r="F388" s="1"/>
      <c r="N388" s="127"/>
      <c r="O388" s="22"/>
      <c r="P388" s="22"/>
      <c r="Q388" s="22"/>
      <c r="R388" s="22"/>
      <c r="S388" s="22"/>
      <c r="T388" s="127"/>
      <c r="U388" s="127"/>
      <c r="V388" s="22"/>
      <c r="W388" s="22"/>
      <c r="X388" s="22"/>
      <c r="Y388" s="22"/>
      <c r="Z388" s="22"/>
      <c r="AA388" s="127"/>
      <c r="AB388" s="127"/>
      <c r="AC388" s="22"/>
      <c r="AD388" s="22"/>
      <c r="AE388" s="22"/>
      <c r="AF388" s="22"/>
      <c r="AG388" s="22"/>
      <c r="AH388" s="127"/>
    </row>
    <row r="389" spans="6:34" x14ac:dyDescent="0.2">
      <c r="F389" s="1"/>
      <c r="N389" s="127"/>
      <c r="O389" s="22"/>
      <c r="P389" s="22"/>
      <c r="Q389" s="22"/>
      <c r="R389" s="22"/>
      <c r="S389" s="22"/>
      <c r="T389" s="127"/>
      <c r="U389" s="127"/>
      <c r="V389" s="22"/>
      <c r="W389" s="22"/>
      <c r="X389" s="22"/>
      <c r="Y389" s="22"/>
      <c r="Z389" s="22"/>
      <c r="AA389" s="127"/>
      <c r="AB389" s="127"/>
      <c r="AC389" s="22"/>
      <c r="AD389" s="22"/>
      <c r="AE389" s="22"/>
      <c r="AF389" s="22"/>
      <c r="AG389" s="22"/>
      <c r="AH389" s="127"/>
    </row>
    <row r="390" spans="6:34" x14ac:dyDescent="0.2">
      <c r="F390" s="1"/>
      <c r="N390" s="127"/>
      <c r="O390" s="22"/>
      <c r="P390" s="22"/>
      <c r="Q390" s="22"/>
      <c r="R390" s="22"/>
      <c r="S390" s="22"/>
      <c r="T390" s="127"/>
      <c r="U390" s="127"/>
      <c r="V390" s="22"/>
      <c r="W390" s="22"/>
      <c r="X390" s="22"/>
      <c r="Y390" s="22"/>
      <c r="Z390" s="22"/>
      <c r="AA390" s="127"/>
      <c r="AB390" s="127"/>
      <c r="AC390" s="22"/>
      <c r="AD390" s="22"/>
      <c r="AE390" s="22"/>
      <c r="AF390" s="22"/>
      <c r="AG390" s="22"/>
      <c r="AH390" s="127"/>
    </row>
    <row r="391" spans="6:34" x14ac:dyDescent="0.2">
      <c r="F391" s="1"/>
      <c r="N391" s="127"/>
      <c r="O391" s="22"/>
      <c r="P391" s="22"/>
      <c r="Q391" s="22"/>
      <c r="R391" s="22"/>
      <c r="S391" s="22"/>
      <c r="T391" s="127"/>
      <c r="U391" s="127"/>
      <c r="V391" s="22"/>
      <c r="W391" s="22"/>
      <c r="X391" s="22"/>
      <c r="Y391" s="22"/>
      <c r="Z391" s="22"/>
      <c r="AA391" s="127"/>
      <c r="AB391" s="127"/>
      <c r="AC391" s="22"/>
      <c r="AD391" s="22"/>
      <c r="AE391" s="22"/>
      <c r="AF391" s="22"/>
      <c r="AG391" s="22"/>
      <c r="AH391" s="127"/>
    </row>
    <row r="392" spans="6:34" x14ac:dyDescent="0.2">
      <c r="F392" s="1"/>
      <c r="N392" s="127"/>
      <c r="O392" s="22"/>
      <c r="P392" s="22"/>
      <c r="Q392" s="22"/>
      <c r="R392" s="22"/>
      <c r="S392" s="22"/>
      <c r="T392" s="127"/>
      <c r="U392" s="127"/>
      <c r="V392" s="22"/>
      <c r="W392" s="22"/>
      <c r="X392" s="22"/>
      <c r="Y392" s="22"/>
      <c r="Z392" s="22"/>
      <c r="AA392" s="127"/>
      <c r="AB392" s="127"/>
      <c r="AC392" s="22"/>
      <c r="AD392" s="22"/>
      <c r="AE392" s="22"/>
      <c r="AF392" s="22"/>
      <c r="AG392" s="22"/>
      <c r="AH392" s="127"/>
    </row>
    <row r="393" spans="6:34" x14ac:dyDescent="0.2">
      <c r="F393" s="1"/>
      <c r="N393" s="127"/>
      <c r="O393" s="22"/>
      <c r="P393" s="22"/>
      <c r="Q393" s="22"/>
      <c r="R393" s="22"/>
      <c r="S393" s="22"/>
      <c r="T393" s="127"/>
      <c r="U393" s="127"/>
      <c r="V393" s="22"/>
      <c r="W393" s="22"/>
      <c r="X393" s="22"/>
      <c r="Y393" s="22"/>
      <c r="Z393" s="22"/>
      <c r="AA393" s="127"/>
      <c r="AB393" s="127"/>
      <c r="AC393" s="22"/>
      <c r="AD393" s="22"/>
      <c r="AE393" s="22"/>
      <c r="AF393" s="22"/>
      <c r="AG393" s="22"/>
      <c r="AH393" s="127"/>
    </row>
    <row r="394" spans="6:34" x14ac:dyDescent="0.2">
      <c r="F394" s="1"/>
      <c r="N394" s="127"/>
      <c r="O394" s="22"/>
      <c r="P394" s="22"/>
      <c r="Q394" s="22"/>
      <c r="R394" s="22"/>
      <c r="S394" s="22"/>
      <c r="T394" s="127"/>
      <c r="U394" s="127"/>
      <c r="V394" s="22"/>
      <c r="W394" s="22"/>
      <c r="X394" s="22"/>
      <c r="Y394" s="22"/>
      <c r="Z394" s="22"/>
      <c r="AA394" s="127"/>
      <c r="AB394" s="127"/>
      <c r="AC394" s="22"/>
      <c r="AD394" s="22"/>
      <c r="AE394" s="22"/>
      <c r="AF394" s="22"/>
      <c r="AG394" s="22"/>
      <c r="AH394" s="127"/>
    </row>
    <row r="395" spans="6:34" x14ac:dyDescent="0.2">
      <c r="F395" s="1"/>
      <c r="N395" s="127"/>
      <c r="O395" s="22"/>
      <c r="P395" s="22"/>
      <c r="Q395" s="22"/>
      <c r="R395" s="22"/>
      <c r="S395" s="22"/>
      <c r="T395" s="127"/>
      <c r="U395" s="127"/>
      <c r="V395" s="22"/>
      <c r="W395" s="22"/>
      <c r="X395" s="22"/>
      <c r="Y395" s="22"/>
      <c r="Z395" s="22"/>
      <c r="AA395" s="127"/>
      <c r="AB395" s="127"/>
      <c r="AC395" s="22"/>
      <c r="AD395" s="22"/>
      <c r="AE395" s="22"/>
      <c r="AF395" s="22"/>
      <c r="AG395" s="22"/>
      <c r="AH395" s="127"/>
    </row>
    <row r="396" spans="6:34" x14ac:dyDescent="0.2">
      <c r="F396" s="1"/>
      <c r="N396" s="127"/>
      <c r="O396" s="22"/>
      <c r="P396" s="22"/>
      <c r="Q396" s="22"/>
      <c r="R396" s="22"/>
      <c r="S396" s="22"/>
      <c r="T396" s="127"/>
      <c r="U396" s="127"/>
      <c r="V396" s="22"/>
      <c r="W396" s="22"/>
      <c r="X396" s="22"/>
      <c r="Y396" s="22"/>
      <c r="Z396" s="22"/>
      <c r="AA396" s="127"/>
      <c r="AB396" s="127"/>
      <c r="AC396" s="22"/>
      <c r="AD396" s="22"/>
      <c r="AE396" s="22"/>
      <c r="AF396" s="22"/>
      <c r="AG396" s="22"/>
      <c r="AH396" s="127"/>
    </row>
    <row r="397" spans="6:34" x14ac:dyDescent="0.2">
      <c r="F397" s="1"/>
      <c r="N397" s="127"/>
      <c r="O397" s="22"/>
      <c r="P397" s="22"/>
      <c r="Q397" s="22"/>
      <c r="R397" s="22"/>
      <c r="S397" s="22"/>
      <c r="T397" s="127"/>
      <c r="U397" s="127"/>
      <c r="V397" s="22"/>
      <c r="W397" s="22"/>
      <c r="X397" s="22"/>
      <c r="Y397" s="22"/>
      <c r="Z397" s="22"/>
      <c r="AA397" s="127"/>
      <c r="AB397" s="127"/>
      <c r="AC397" s="22"/>
      <c r="AD397" s="22"/>
      <c r="AE397" s="22"/>
      <c r="AF397" s="22"/>
      <c r="AG397" s="22"/>
      <c r="AH397" s="127"/>
    </row>
    <row r="398" spans="6:34" x14ac:dyDescent="0.2">
      <c r="F398" s="1"/>
      <c r="N398" s="127"/>
      <c r="O398" s="22"/>
      <c r="P398" s="22"/>
      <c r="Q398" s="22"/>
      <c r="R398" s="22"/>
      <c r="S398" s="22"/>
      <c r="T398" s="127"/>
      <c r="U398" s="127"/>
      <c r="V398" s="22"/>
      <c r="W398" s="22"/>
      <c r="X398" s="22"/>
      <c r="Y398" s="22"/>
      <c r="Z398" s="22"/>
      <c r="AA398" s="127"/>
      <c r="AB398" s="127"/>
      <c r="AC398" s="22"/>
      <c r="AD398" s="22"/>
      <c r="AE398" s="22"/>
      <c r="AF398" s="22"/>
      <c r="AG398" s="22"/>
      <c r="AH398" s="127"/>
    </row>
    <row r="399" spans="6:34" x14ac:dyDescent="0.2">
      <c r="F399" s="1"/>
      <c r="N399" s="127"/>
      <c r="O399" s="22"/>
      <c r="P399" s="22"/>
      <c r="Q399" s="22"/>
      <c r="R399" s="22"/>
      <c r="S399" s="22"/>
      <c r="T399" s="127"/>
      <c r="U399" s="127"/>
      <c r="V399" s="22"/>
      <c r="W399" s="22"/>
      <c r="X399" s="22"/>
      <c r="Y399" s="22"/>
      <c r="Z399" s="22"/>
      <c r="AA399" s="127"/>
      <c r="AB399" s="127"/>
      <c r="AC399" s="22"/>
      <c r="AD399" s="22"/>
      <c r="AE399" s="22"/>
      <c r="AF399" s="22"/>
      <c r="AG399" s="22"/>
      <c r="AH399" s="127"/>
    </row>
    <row r="400" spans="6:34" x14ac:dyDescent="0.2">
      <c r="F400" s="1"/>
      <c r="N400" s="127"/>
      <c r="O400" s="22"/>
      <c r="P400" s="22"/>
      <c r="Q400" s="22"/>
      <c r="R400" s="22"/>
      <c r="S400" s="22"/>
      <c r="T400" s="127"/>
      <c r="U400" s="127"/>
      <c r="V400" s="22"/>
      <c r="W400" s="22"/>
      <c r="X400" s="22"/>
      <c r="Y400" s="22"/>
      <c r="Z400" s="22"/>
      <c r="AA400" s="127"/>
      <c r="AB400" s="127"/>
      <c r="AC400" s="22"/>
      <c r="AD400" s="22"/>
      <c r="AE400" s="22"/>
      <c r="AF400" s="22"/>
      <c r="AG400" s="22"/>
      <c r="AH400" s="127"/>
    </row>
    <row r="401" spans="6:34" x14ac:dyDescent="0.2">
      <c r="F401" s="1"/>
      <c r="N401" s="127"/>
      <c r="O401" s="22"/>
      <c r="P401" s="22"/>
      <c r="Q401" s="22"/>
      <c r="R401" s="22"/>
      <c r="S401" s="22"/>
      <c r="T401" s="127"/>
      <c r="U401" s="127"/>
      <c r="V401" s="22"/>
      <c r="W401" s="22"/>
      <c r="X401" s="22"/>
      <c r="Y401" s="22"/>
      <c r="Z401" s="22"/>
      <c r="AA401" s="127"/>
      <c r="AB401" s="127"/>
      <c r="AC401" s="22"/>
      <c r="AD401" s="22"/>
      <c r="AE401" s="22"/>
      <c r="AF401" s="22"/>
      <c r="AG401" s="22"/>
      <c r="AH401" s="127"/>
    </row>
    <row r="402" spans="6:34" x14ac:dyDescent="0.2">
      <c r="F402" s="1"/>
      <c r="N402" s="127"/>
      <c r="O402" s="22"/>
      <c r="P402" s="22"/>
      <c r="Q402" s="22"/>
      <c r="R402" s="22"/>
      <c r="S402" s="22"/>
      <c r="T402" s="127"/>
      <c r="U402" s="127"/>
      <c r="V402" s="22"/>
      <c r="W402" s="22"/>
      <c r="X402" s="22"/>
      <c r="Y402" s="22"/>
      <c r="Z402" s="22"/>
      <c r="AA402" s="127"/>
      <c r="AB402" s="127"/>
      <c r="AC402" s="22"/>
      <c r="AD402" s="22"/>
      <c r="AE402" s="22"/>
      <c r="AF402" s="22"/>
      <c r="AG402" s="22"/>
      <c r="AH402" s="127"/>
    </row>
    <row r="403" spans="6:34" x14ac:dyDescent="0.2">
      <c r="F403" s="1"/>
      <c r="N403" s="127"/>
      <c r="O403" s="22"/>
      <c r="P403" s="22"/>
      <c r="Q403" s="22"/>
      <c r="R403" s="22"/>
      <c r="S403" s="22"/>
      <c r="T403" s="127"/>
      <c r="U403" s="127"/>
      <c r="V403" s="22"/>
      <c r="W403" s="22"/>
      <c r="X403" s="22"/>
      <c r="Y403" s="22"/>
      <c r="Z403" s="22"/>
      <c r="AA403" s="127"/>
      <c r="AB403" s="127"/>
      <c r="AC403" s="22"/>
      <c r="AD403" s="22"/>
      <c r="AE403" s="22"/>
      <c r="AF403" s="22"/>
      <c r="AG403" s="22"/>
      <c r="AH403" s="127"/>
    </row>
    <row r="404" spans="6:34" x14ac:dyDescent="0.2">
      <c r="F404" s="1"/>
      <c r="N404" s="127"/>
      <c r="O404" s="22"/>
      <c r="P404" s="22"/>
      <c r="Q404" s="22"/>
      <c r="R404" s="22"/>
      <c r="S404" s="22"/>
      <c r="T404" s="127"/>
      <c r="U404" s="127"/>
      <c r="V404" s="22"/>
      <c r="W404" s="22"/>
      <c r="X404" s="22"/>
      <c r="Y404" s="22"/>
      <c r="Z404" s="22"/>
      <c r="AA404" s="127"/>
      <c r="AB404" s="127"/>
      <c r="AC404" s="22"/>
      <c r="AD404" s="22"/>
      <c r="AE404" s="22"/>
      <c r="AF404" s="22"/>
      <c r="AG404" s="22"/>
      <c r="AH404" s="127"/>
    </row>
    <row r="405" spans="6:34" x14ac:dyDescent="0.2">
      <c r="F405" s="1"/>
      <c r="N405" s="127"/>
      <c r="O405" s="22"/>
      <c r="P405" s="22"/>
      <c r="Q405" s="22"/>
      <c r="R405" s="22"/>
      <c r="S405" s="22"/>
      <c r="T405" s="127"/>
      <c r="U405" s="127"/>
      <c r="V405" s="22"/>
      <c r="W405" s="22"/>
      <c r="X405" s="22"/>
      <c r="Y405" s="22"/>
      <c r="Z405" s="22"/>
      <c r="AA405" s="127"/>
      <c r="AB405" s="127"/>
      <c r="AC405" s="22"/>
      <c r="AD405" s="22"/>
      <c r="AE405" s="22"/>
      <c r="AF405" s="22"/>
      <c r="AG405" s="22"/>
      <c r="AH405" s="127"/>
    </row>
    <row r="406" spans="6:34" x14ac:dyDescent="0.2">
      <c r="F406" s="1"/>
      <c r="N406" s="127"/>
      <c r="O406" s="22"/>
      <c r="P406" s="22"/>
      <c r="Q406" s="22"/>
      <c r="R406" s="22"/>
      <c r="S406" s="22"/>
      <c r="T406" s="127"/>
      <c r="U406" s="127"/>
      <c r="V406" s="22"/>
      <c r="W406" s="22"/>
      <c r="X406" s="22"/>
      <c r="Y406" s="22"/>
      <c r="Z406" s="22"/>
      <c r="AA406" s="127"/>
      <c r="AB406" s="127"/>
      <c r="AC406" s="22"/>
      <c r="AD406" s="22"/>
      <c r="AE406" s="22"/>
      <c r="AF406" s="22"/>
      <c r="AG406" s="22"/>
      <c r="AH406" s="127"/>
    </row>
    <row r="407" spans="6:34" x14ac:dyDescent="0.2">
      <c r="F407" s="1"/>
      <c r="N407" s="127"/>
      <c r="O407" s="22"/>
      <c r="P407" s="22"/>
      <c r="Q407" s="22"/>
      <c r="R407" s="22"/>
      <c r="S407" s="22"/>
      <c r="T407" s="127"/>
      <c r="U407" s="127"/>
      <c r="V407" s="22"/>
      <c r="W407" s="22"/>
      <c r="X407" s="22"/>
      <c r="Y407" s="22"/>
      <c r="Z407" s="22"/>
      <c r="AA407" s="127"/>
      <c r="AB407" s="127"/>
      <c r="AC407" s="22"/>
      <c r="AD407" s="22"/>
      <c r="AE407" s="22"/>
      <c r="AF407" s="22"/>
      <c r="AG407" s="22"/>
      <c r="AH407" s="127"/>
    </row>
    <row r="408" spans="6:34" x14ac:dyDescent="0.2">
      <c r="F408" s="1"/>
      <c r="N408" s="127"/>
      <c r="O408" s="22"/>
      <c r="P408" s="22"/>
      <c r="Q408" s="22"/>
      <c r="R408" s="22"/>
      <c r="S408" s="22"/>
      <c r="T408" s="127"/>
      <c r="U408" s="127"/>
      <c r="V408" s="22"/>
      <c r="W408" s="22"/>
      <c r="X408" s="22"/>
      <c r="Y408" s="22"/>
      <c r="Z408" s="22"/>
      <c r="AA408" s="127"/>
      <c r="AB408" s="127"/>
      <c r="AC408" s="22"/>
      <c r="AD408" s="22"/>
      <c r="AE408" s="22"/>
      <c r="AF408" s="22"/>
      <c r="AG408" s="22"/>
      <c r="AH408" s="127"/>
    </row>
    <row r="409" spans="6:34" x14ac:dyDescent="0.2">
      <c r="F409" s="1"/>
      <c r="N409" s="127"/>
      <c r="O409" s="22"/>
      <c r="P409" s="22"/>
      <c r="Q409" s="22"/>
      <c r="R409" s="22"/>
      <c r="S409" s="22"/>
      <c r="T409" s="127"/>
      <c r="U409" s="127"/>
      <c r="V409" s="22"/>
      <c r="W409" s="22"/>
      <c r="X409" s="22"/>
      <c r="Y409" s="22"/>
      <c r="Z409" s="22"/>
      <c r="AA409" s="127"/>
      <c r="AB409" s="127"/>
      <c r="AC409" s="22"/>
      <c r="AD409" s="22"/>
      <c r="AE409" s="22"/>
      <c r="AF409" s="22"/>
      <c r="AG409" s="22"/>
      <c r="AH409" s="127"/>
    </row>
    <row r="410" spans="6:34" x14ac:dyDescent="0.2">
      <c r="F410" s="1"/>
      <c r="N410" s="127"/>
      <c r="O410" s="22"/>
      <c r="P410" s="22"/>
      <c r="Q410" s="22"/>
      <c r="R410" s="22"/>
      <c r="S410" s="22"/>
      <c r="T410" s="127"/>
      <c r="U410" s="127"/>
      <c r="V410" s="22"/>
      <c r="W410" s="22"/>
      <c r="X410" s="22"/>
      <c r="Y410" s="22"/>
      <c r="Z410" s="22"/>
      <c r="AA410" s="127"/>
      <c r="AB410" s="127"/>
      <c r="AC410" s="22"/>
      <c r="AD410" s="22"/>
      <c r="AE410" s="22"/>
      <c r="AF410" s="22"/>
      <c r="AG410" s="22"/>
      <c r="AH410" s="127"/>
    </row>
    <row r="411" spans="6:34" x14ac:dyDescent="0.2">
      <c r="F411" s="1"/>
      <c r="N411" s="127"/>
      <c r="O411" s="22"/>
      <c r="P411" s="22"/>
      <c r="Q411" s="22"/>
      <c r="R411" s="22"/>
      <c r="S411" s="22"/>
      <c r="T411" s="127"/>
      <c r="U411" s="127"/>
      <c r="V411" s="22"/>
      <c r="W411" s="22"/>
      <c r="X411" s="22"/>
      <c r="Y411" s="22"/>
      <c r="Z411" s="22"/>
      <c r="AA411" s="127"/>
      <c r="AB411" s="127"/>
      <c r="AC411" s="22"/>
      <c r="AD411" s="22"/>
      <c r="AE411" s="22"/>
      <c r="AF411" s="22"/>
      <c r="AG411" s="22"/>
      <c r="AH411" s="127"/>
    </row>
    <row r="412" spans="6:34" x14ac:dyDescent="0.2">
      <c r="F412" s="1"/>
      <c r="N412" s="127"/>
      <c r="O412" s="22"/>
      <c r="P412" s="22"/>
      <c r="Q412" s="22"/>
      <c r="R412" s="22"/>
      <c r="S412" s="22"/>
      <c r="T412" s="127"/>
      <c r="U412" s="127"/>
      <c r="V412" s="22"/>
      <c r="W412" s="22"/>
      <c r="X412" s="22"/>
      <c r="Y412" s="22"/>
      <c r="Z412" s="22"/>
      <c r="AA412" s="127"/>
      <c r="AB412" s="127"/>
      <c r="AC412" s="22"/>
      <c r="AD412" s="22"/>
      <c r="AE412" s="22"/>
      <c r="AF412" s="22"/>
      <c r="AG412" s="22"/>
      <c r="AH412" s="127"/>
    </row>
    <row r="413" spans="6:34" x14ac:dyDescent="0.2">
      <c r="F413" s="1"/>
      <c r="N413" s="127"/>
      <c r="O413" s="22"/>
      <c r="P413" s="22"/>
      <c r="Q413" s="22"/>
      <c r="R413" s="22"/>
      <c r="S413" s="22"/>
      <c r="T413" s="127"/>
      <c r="U413" s="127"/>
      <c r="V413" s="22"/>
      <c r="W413" s="22"/>
      <c r="X413" s="22"/>
      <c r="Y413" s="22"/>
      <c r="Z413" s="22"/>
      <c r="AA413" s="127"/>
      <c r="AB413" s="127"/>
      <c r="AC413" s="22"/>
      <c r="AD413" s="22"/>
      <c r="AE413" s="22"/>
      <c r="AF413" s="22"/>
      <c r="AG413" s="22"/>
      <c r="AH413" s="127"/>
    </row>
    <row r="414" spans="6:34" x14ac:dyDescent="0.2">
      <c r="F414" s="1"/>
      <c r="N414" s="127"/>
      <c r="O414" s="22"/>
      <c r="P414" s="22"/>
      <c r="Q414" s="22"/>
      <c r="R414" s="22"/>
      <c r="S414" s="22"/>
      <c r="T414" s="127"/>
      <c r="U414" s="127"/>
      <c r="V414" s="22"/>
      <c r="W414" s="22"/>
      <c r="X414" s="22"/>
      <c r="Y414" s="22"/>
      <c r="Z414" s="22"/>
      <c r="AA414" s="127"/>
      <c r="AB414" s="127"/>
      <c r="AC414" s="22"/>
      <c r="AD414" s="22"/>
      <c r="AE414" s="22"/>
      <c r="AF414" s="22"/>
      <c r="AG414" s="22"/>
      <c r="AH414" s="127"/>
    </row>
    <row r="415" spans="6:34" x14ac:dyDescent="0.2">
      <c r="F415" s="1"/>
      <c r="N415" s="127"/>
      <c r="O415" s="22"/>
      <c r="P415" s="22"/>
      <c r="Q415" s="22"/>
      <c r="R415" s="22"/>
      <c r="S415" s="22"/>
      <c r="T415" s="127"/>
      <c r="U415" s="127"/>
      <c r="V415" s="22"/>
      <c r="W415" s="22"/>
      <c r="X415" s="22"/>
      <c r="Y415" s="22"/>
      <c r="Z415" s="22"/>
      <c r="AA415" s="127"/>
      <c r="AB415" s="127"/>
      <c r="AC415" s="22"/>
      <c r="AD415" s="22"/>
      <c r="AE415" s="22"/>
      <c r="AF415" s="22"/>
      <c r="AG415" s="22"/>
      <c r="AH415" s="127"/>
    </row>
    <row r="416" spans="6:34" x14ac:dyDescent="0.2">
      <c r="F416" s="1"/>
      <c r="N416" s="127"/>
      <c r="O416" s="22"/>
      <c r="P416" s="22"/>
      <c r="Q416" s="22"/>
      <c r="R416" s="22"/>
      <c r="S416" s="22"/>
      <c r="T416" s="127"/>
      <c r="U416" s="127"/>
      <c r="V416" s="22"/>
      <c r="W416" s="22"/>
      <c r="X416" s="22"/>
      <c r="Y416" s="22"/>
      <c r="Z416" s="22"/>
      <c r="AA416" s="127"/>
      <c r="AB416" s="127"/>
      <c r="AC416" s="22"/>
      <c r="AD416" s="22"/>
      <c r="AE416" s="22"/>
      <c r="AF416" s="22"/>
      <c r="AG416" s="22"/>
      <c r="AH416" s="127"/>
    </row>
    <row r="417" spans="6:34" x14ac:dyDescent="0.2">
      <c r="F417" s="1"/>
      <c r="N417" s="127"/>
      <c r="O417" s="22"/>
      <c r="P417" s="22"/>
      <c r="Q417" s="22"/>
      <c r="R417" s="22"/>
      <c r="S417" s="22"/>
      <c r="T417" s="127"/>
      <c r="U417" s="127"/>
      <c r="V417" s="22"/>
      <c r="W417" s="22"/>
      <c r="X417" s="22"/>
      <c r="Y417" s="22"/>
      <c r="Z417" s="22"/>
      <c r="AA417" s="127"/>
      <c r="AB417" s="127"/>
      <c r="AC417" s="22"/>
      <c r="AD417" s="22"/>
      <c r="AE417" s="22"/>
      <c r="AF417" s="22"/>
      <c r="AG417" s="22"/>
      <c r="AH417" s="127"/>
    </row>
    <row r="418" spans="6:34" x14ac:dyDescent="0.2">
      <c r="F418" s="1"/>
      <c r="N418" s="127"/>
      <c r="O418" s="22"/>
      <c r="P418" s="22"/>
      <c r="Q418" s="22"/>
      <c r="R418" s="22"/>
      <c r="S418" s="22"/>
      <c r="T418" s="127"/>
      <c r="U418" s="127"/>
      <c r="V418" s="22"/>
      <c r="W418" s="22"/>
      <c r="X418" s="22"/>
      <c r="Y418" s="22"/>
      <c r="Z418" s="22"/>
      <c r="AA418" s="127"/>
      <c r="AB418" s="127"/>
      <c r="AC418" s="22"/>
      <c r="AD418" s="22"/>
      <c r="AE418" s="22"/>
      <c r="AF418" s="22"/>
      <c r="AG418" s="22"/>
      <c r="AH418" s="127"/>
    </row>
    <row r="419" spans="6:34" x14ac:dyDescent="0.2">
      <c r="F419" s="1"/>
      <c r="N419" s="127"/>
      <c r="O419" s="22"/>
      <c r="P419" s="22"/>
      <c r="Q419" s="22"/>
      <c r="R419" s="22"/>
      <c r="S419" s="22"/>
      <c r="T419" s="127"/>
      <c r="U419" s="127"/>
      <c r="V419" s="22"/>
      <c r="W419" s="22"/>
      <c r="X419" s="22"/>
      <c r="Y419" s="22"/>
      <c r="Z419" s="22"/>
      <c r="AA419" s="127"/>
      <c r="AB419" s="127"/>
      <c r="AC419" s="22"/>
      <c r="AD419" s="22"/>
      <c r="AE419" s="22"/>
      <c r="AF419" s="22"/>
      <c r="AG419" s="22"/>
      <c r="AH419" s="127"/>
    </row>
    <row r="420" spans="6:34" x14ac:dyDescent="0.2">
      <c r="F420" s="1"/>
      <c r="N420" s="127"/>
      <c r="O420" s="22"/>
      <c r="P420" s="22"/>
      <c r="Q420" s="22"/>
      <c r="R420" s="22"/>
      <c r="S420" s="22"/>
      <c r="T420" s="127"/>
      <c r="U420" s="127"/>
      <c r="V420" s="22"/>
      <c r="W420" s="22"/>
      <c r="X420" s="22"/>
      <c r="Y420" s="22"/>
      <c r="Z420" s="22"/>
      <c r="AA420" s="127"/>
      <c r="AB420" s="127"/>
      <c r="AC420" s="22"/>
      <c r="AD420" s="22"/>
      <c r="AE420" s="22"/>
      <c r="AF420" s="22"/>
      <c r="AG420" s="22"/>
      <c r="AH420" s="127"/>
    </row>
    <row r="421" spans="6:34" x14ac:dyDescent="0.2">
      <c r="F421" s="1"/>
      <c r="N421" s="127"/>
      <c r="O421" s="22"/>
      <c r="P421" s="22"/>
      <c r="Q421" s="22"/>
      <c r="R421" s="22"/>
      <c r="S421" s="22"/>
      <c r="T421" s="127"/>
      <c r="U421" s="127"/>
      <c r="V421" s="22"/>
      <c r="W421" s="22"/>
      <c r="X421" s="22"/>
      <c r="Y421" s="22"/>
      <c r="Z421" s="22"/>
      <c r="AA421" s="127"/>
      <c r="AB421" s="127"/>
      <c r="AC421" s="22"/>
      <c r="AD421" s="22"/>
      <c r="AE421" s="22"/>
      <c r="AF421" s="22"/>
      <c r="AG421" s="22"/>
      <c r="AH421" s="127"/>
    </row>
    <row r="422" spans="6:34" x14ac:dyDescent="0.2">
      <c r="F422" s="1"/>
      <c r="N422" s="127"/>
      <c r="O422" s="22"/>
      <c r="P422" s="22"/>
      <c r="Q422" s="22"/>
      <c r="R422" s="22"/>
      <c r="S422" s="22"/>
      <c r="T422" s="127"/>
      <c r="U422" s="127"/>
      <c r="V422" s="22"/>
      <c r="W422" s="22"/>
      <c r="X422" s="22"/>
      <c r="Y422" s="22"/>
      <c r="Z422" s="22"/>
      <c r="AA422" s="127"/>
      <c r="AB422" s="127"/>
      <c r="AC422" s="22"/>
      <c r="AD422" s="22"/>
      <c r="AE422" s="22"/>
      <c r="AF422" s="22"/>
      <c r="AG422" s="22"/>
      <c r="AH422" s="127"/>
    </row>
    <row r="423" spans="6:34" x14ac:dyDescent="0.2">
      <c r="F423" s="1"/>
      <c r="N423" s="127"/>
      <c r="O423" s="22"/>
      <c r="P423" s="22"/>
      <c r="Q423" s="22"/>
      <c r="R423" s="22"/>
      <c r="S423" s="22"/>
      <c r="T423" s="127"/>
      <c r="U423" s="127"/>
      <c r="V423" s="22"/>
      <c r="W423" s="22"/>
      <c r="X423" s="22"/>
      <c r="Y423" s="22"/>
      <c r="Z423" s="22"/>
      <c r="AA423" s="127"/>
      <c r="AB423" s="127"/>
      <c r="AC423" s="22"/>
      <c r="AD423" s="22"/>
      <c r="AE423" s="22"/>
      <c r="AF423" s="22"/>
      <c r="AG423" s="22"/>
      <c r="AH423" s="127"/>
    </row>
    <row r="424" spans="6:34" x14ac:dyDescent="0.2">
      <c r="F424" s="1"/>
      <c r="N424" s="127"/>
      <c r="O424" s="22"/>
      <c r="P424" s="22"/>
      <c r="Q424" s="22"/>
      <c r="R424" s="22"/>
      <c r="S424" s="22"/>
      <c r="T424" s="127"/>
      <c r="U424" s="127"/>
      <c r="V424" s="22"/>
      <c r="W424" s="22"/>
      <c r="X424" s="22"/>
      <c r="Y424" s="22"/>
      <c r="Z424" s="22"/>
      <c r="AA424" s="127"/>
      <c r="AB424" s="127"/>
      <c r="AC424" s="22"/>
      <c r="AD424" s="22"/>
      <c r="AE424" s="22"/>
      <c r="AF424" s="22"/>
      <c r="AG424" s="22"/>
      <c r="AH424" s="127"/>
    </row>
    <row r="425" spans="6:34" x14ac:dyDescent="0.2">
      <c r="F425" s="1"/>
      <c r="N425" s="127"/>
      <c r="O425" s="22"/>
      <c r="P425" s="22"/>
      <c r="Q425" s="22"/>
      <c r="R425" s="22"/>
      <c r="S425" s="22"/>
      <c r="T425" s="127"/>
      <c r="U425" s="127"/>
      <c r="V425" s="22"/>
      <c r="W425" s="22"/>
      <c r="X425" s="22"/>
      <c r="Y425" s="22"/>
      <c r="Z425" s="22"/>
      <c r="AA425" s="127"/>
      <c r="AB425" s="127"/>
      <c r="AC425" s="22"/>
      <c r="AD425" s="22"/>
      <c r="AE425" s="22"/>
      <c r="AF425" s="22"/>
      <c r="AG425" s="22"/>
      <c r="AH425" s="127"/>
    </row>
    <row r="426" spans="6:34" x14ac:dyDescent="0.2">
      <c r="F426" s="1"/>
      <c r="N426" s="127"/>
      <c r="O426" s="22"/>
      <c r="P426" s="22"/>
      <c r="Q426" s="22"/>
      <c r="R426" s="22"/>
      <c r="S426" s="22"/>
      <c r="T426" s="127"/>
      <c r="U426" s="127"/>
      <c r="V426" s="22"/>
      <c r="W426" s="22"/>
      <c r="X426" s="22"/>
      <c r="Y426" s="22"/>
      <c r="Z426" s="22"/>
      <c r="AA426" s="127"/>
      <c r="AB426" s="127"/>
      <c r="AC426" s="22"/>
      <c r="AD426" s="22"/>
      <c r="AE426" s="22"/>
      <c r="AF426" s="22"/>
      <c r="AG426" s="22"/>
      <c r="AH426" s="127"/>
    </row>
    <row r="427" spans="6:34" x14ac:dyDescent="0.2">
      <c r="F427" s="1"/>
      <c r="N427" s="127"/>
      <c r="O427" s="22"/>
      <c r="P427" s="22"/>
      <c r="Q427" s="22"/>
      <c r="R427" s="22"/>
      <c r="S427" s="22"/>
      <c r="T427" s="127"/>
      <c r="U427" s="127"/>
      <c r="V427" s="22"/>
      <c r="W427" s="22"/>
      <c r="X427" s="22"/>
      <c r="Y427" s="22"/>
      <c r="Z427" s="22"/>
      <c r="AA427" s="127"/>
      <c r="AB427" s="127"/>
      <c r="AC427" s="22"/>
      <c r="AD427" s="22"/>
      <c r="AE427" s="22"/>
      <c r="AF427" s="22"/>
      <c r="AG427" s="22"/>
      <c r="AH427" s="127"/>
    </row>
    <row r="428" spans="6:34" x14ac:dyDescent="0.2">
      <c r="F428" s="1"/>
      <c r="N428" s="127"/>
      <c r="O428" s="22"/>
      <c r="P428" s="22"/>
      <c r="Q428" s="22"/>
      <c r="R428" s="22"/>
      <c r="S428" s="22"/>
      <c r="T428" s="127"/>
      <c r="U428" s="127"/>
      <c r="V428" s="22"/>
      <c r="W428" s="22"/>
      <c r="X428" s="22"/>
      <c r="Y428" s="22"/>
      <c r="Z428" s="22"/>
      <c r="AA428" s="127"/>
      <c r="AB428" s="127"/>
      <c r="AC428" s="22"/>
      <c r="AD428" s="22"/>
      <c r="AE428" s="22"/>
      <c r="AF428" s="22"/>
      <c r="AG428" s="22"/>
      <c r="AH428" s="127"/>
    </row>
    <row r="429" spans="6:34" x14ac:dyDescent="0.2">
      <c r="F429" s="1"/>
      <c r="N429" s="127"/>
      <c r="O429" s="22"/>
      <c r="P429" s="22"/>
      <c r="Q429" s="22"/>
      <c r="R429" s="22"/>
      <c r="S429" s="22"/>
      <c r="T429" s="127"/>
      <c r="U429" s="127"/>
      <c r="V429" s="22"/>
      <c r="W429" s="22"/>
      <c r="X429" s="22"/>
      <c r="Y429" s="22"/>
      <c r="Z429" s="22"/>
      <c r="AA429" s="127"/>
      <c r="AB429" s="127"/>
      <c r="AC429" s="22"/>
      <c r="AD429" s="22"/>
      <c r="AE429" s="22"/>
      <c r="AF429" s="22"/>
      <c r="AG429" s="22"/>
      <c r="AH429" s="127"/>
    </row>
    <row r="430" spans="6:34" x14ac:dyDescent="0.2">
      <c r="F430" s="1"/>
      <c r="N430" s="127"/>
      <c r="O430" s="22"/>
      <c r="P430" s="22"/>
      <c r="Q430" s="22"/>
      <c r="R430" s="22"/>
      <c r="S430" s="22"/>
      <c r="T430" s="127"/>
      <c r="U430" s="127"/>
      <c r="V430" s="22"/>
      <c r="W430" s="22"/>
      <c r="X430" s="22"/>
      <c r="Y430" s="22"/>
      <c r="Z430" s="22"/>
      <c r="AA430" s="127"/>
      <c r="AB430" s="127"/>
      <c r="AC430" s="22"/>
      <c r="AD430" s="22"/>
      <c r="AE430" s="22"/>
      <c r="AF430" s="22"/>
      <c r="AG430" s="22"/>
      <c r="AH430" s="127"/>
    </row>
    <row r="431" spans="6:34" x14ac:dyDescent="0.2">
      <c r="F431" s="1"/>
      <c r="N431" s="127"/>
      <c r="O431" s="22"/>
      <c r="P431" s="22"/>
      <c r="Q431" s="22"/>
      <c r="R431" s="22"/>
      <c r="S431" s="22"/>
      <c r="T431" s="127"/>
      <c r="U431" s="127"/>
      <c r="V431" s="22"/>
      <c r="W431" s="22"/>
      <c r="X431" s="22"/>
      <c r="Y431" s="22"/>
      <c r="Z431" s="22"/>
      <c r="AA431" s="127"/>
      <c r="AB431" s="127"/>
      <c r="AC431" s="22"/>
      <c r="AD431" s="22"/>
      <c r="AE431" s="22"/>
      <c r="AF431" s="22"/>
      <c r="AG431" s="22"/>
      <c r="AH431" s="127"/>
    </row>
    <row r="432" spans="6:34" x14ac:dyDescent="0.2">
      <c r="F432" s="1"/>
      <c r="N432" s="127"/>
      <c r="O432" s="22"/>
      <c r="P432" s="22"/>
      <c r="Q432" s="22"/>
      <c r="R432" s="22"/>
      <c r="S432" s="22"/>
      <c r="T432" s="127"/>
      <c r="U432" s="127"/>
      <c r="V432" s="22"/>
      <c r="W432" s="22"/>
      <c r="X432" s="22"/>
      <c r="Y432" s="22"/>
      <c r="Z432" s="22"/>
      <c r="AA432" s="127"/>
      <c r="AB432" s="127"/>
      <c r="AC432" s="22"/>
      <c r="AD432" s="22"/>
      <c r="AE432" s="22"/>
      <c r="AF432" s="22"/>
      <c r="AG432" s="22"/>
      <c r="AH432" s="127"/>
    </row>
    <row r="433" spans="6:34" x14ac:dyDescent="0.2">
      <c r="F433" s="1"/>
      <c r="N433" s="127"/>
      <c r="O433" s="22"/>
      <c r="P433" s="22"/>
      <c r="Q433" s="22"/>
      <c r="R433" s="22"/>
      <c r="S433" s="22"/>
      <c r="T433" s="127"/>
      <c r="U433" s="127"/>
      <c r="V433" s="22"/>
      <c r="W433" s="22"/>
      <c r="X433" s="22"/>
      <c r="Y433" s="22"/>
      <c r="Z433" s="22"/>
      <c r="AA433" s="127"/>
      <c r="AB433" s="127"/>
      <c r="AC433" s="22"/>
      <c r="AD433" s="22"/>
      <c r="AE433" s="22"/>
      <c r="AF433" s="22"/>
      <c r="AG433" s="22"/>
      <c r="AH433" s="127"/>
    </row>
    <row r="434" spans="6:34" x14ac:dyDescent="0.2">
      <c r="F434" s="1"/>
      <c r="N434" s="127"/>
      <c r="O434" s="22"/>
      <c r="P434" s="22"/>
      <c r="Q434" s="22"/>
      <c r="R434" s="22"/>
      <c r="S434" s="22"/>
      <c r="T434" s="127"/>
      <c r="U434" s="127"/>
      <c r="V434" s="22"/>
      <c r="W434" s="22"/>
      <c r="X434" s="22"/>
      <c r="Y434" s="22"/>
      <c r="Z434" s="22"/>
      <c r="AA434" s="127"/>
      <c r="AB434" s="127"/>
      <c r="AC434" s="22"/>
      <c r="AD434" s="22"/>
      <c r="AE434" s="22"/>
      <c r="AF434" s="22"/>
      <c r="AG434" s="22"/>
      <c r="AH434" s="127"/>
    </row>
    <row r="435" spans="6:34" x14ac:dyDescent="0.2">
      <c r="F435" s="1"/>
      <c r="N435" s="127"/>
      <c r="O435" s="22"/>
      <c r="P435" s="22"/>
      <c r="Q435" s="22"/>
      <c r="R435" s="22"/>
      <c r="S435" s="22"/>
      <c r="T435" s="127"/>
      <c r="U435" s="127"/>
      <c r="V435" s="22"/>
      <c r="W435" s="22"/>
      <c r="X435" s="22"/>
      <c r="Y435" s="22"/>
      <c r="Z435" s="22"/>
      <c r="AA435" s="127"/>
      <c r="AB435" s="127"/>
      <c r="AC435" s="22"/>
      <c r="AD435" s="22"/>
      <c r="AE435" s="22"/>
      <c r="AF435" s="22"/>
      <c r="AG435" s="22"/>
      <c r="AH435" s="127"/>
    </row>
    <row r="436" spans="6:34" x14ac:dyDescent="0.2">
      <c r="F436" s="1"/>
      <c r="N436" s="127"/>
      <c r="O436" s="22"/>
      <c r="P436" s="22"/>
      <c r="Q436" s="22"/>
      <c r="R436" s="22"/>
      <c r="S436" s="22"/>
      <c r="T436" s="127"/>
      <c r="U436" s="127"/>
      <c r="V436" s="22"/>
      <c r="W436" s="22"/>
      <c r="X436" s="22"/>
      <c r="Y436" s="22"/>
      <c r="Z436" s="22"/>
      <c r="AA436" s="127"/>
      <c r="AB436" s="127"/>
      <c r="AC436" s="22"/>
      <c r="AD436" s="22"/>
      <c r="AE436" s="22"/>
      <c r="AF436" s="22"/>
      <c r="AG436" s="22"/>
      <c r="AH436" s="127"/>
    </row>
    <row r="437" spans="6:34" x14ac:dyDescent="0.2">
      <c r="F437" s="1"/>
      <c r="N437" s="127"/>
      <c r="O437" s="22"/>
      <c r="P437" s="22"/>
      <c r="Q437" s="22"/>
      <c r="R437" s="22"/>
      <c r="S437" s="22"/>
      <c r="T437" s="127"/>
      <c r="U437" s="127"/>
      <c r="V437" s="22"/>
      <c r="W437" s="22"/>
      <c r="X437" s="22"/>
      <c r="Y437" s="22"/>
      <c r="Z437" s="22"/>
      <c r="AA437" s="127"/>
      <c r="AB437" s="127"/>
      <c r="AC437" s="22"/>
      <c r="AD437" s="22"/>
      <c r="AE437" s="22"/>
      <c r="AF437" s="22"/>
      <c r="AG437" s="22"/>
      <c r="AH437" s="127"/>
    </row>
    <row r="438" spans="6:34" x14ac:dyDescent="0.2">
      <c r="F438" s="1"/>
      <c r="N438" s="127"/>
      <c r="O438" s="22"/>
      <c r="P438" s="22"/>
      <c r="Q438" s="22"/>
      <c r="R438" s="22"/>
      <c r="S438" s="22"/>
      <c r="T438" s="127"/>
      <c r="U438" s="127"/>
      <c r="V438" s="22"/>
      <c r="W438" s="22"/>
      <c r="X438" s="22"/>
      <c r="Y438" s="22"/>
      <c r="Z438" s="22"/>
      <c r="AA438" s="127"/>
      <c r="AB438" s="127"/>
      <c r="AC438" s="22"/>
      <c r="AD438" s="22"/>
      <c r="AE438" s="22"/>
      <c r="AF438" s="22"/>
      <c r="AG438" s="22"/>
      <c r="AH438" s="127"/>
    </row>
    <row r="439" spans="6:34" x14ac:dyDescent="0.2">
      <c r="F439" s="1"/>
      <c r="N439" s="127"/>
      <c r="O439" s="22"/>
      <c r="P439" s="22"/>
      <c r="Q439" s="22"/>
      <c r="R439" s="22"/>
      <c r="S439" s="22"/>
      <c r="T439" s="127"/>
      <c r="U439" s="127"/>
      <c r="V439" s="22"/>
      <c r="W439" s="22"/>
      <c r="X439" s="22"/>
      <c r="Y439" s="22"/>
      <c r="Z439" s="22"/>
      <c r="AA439" s="127"/>
      <c r="AB439" s="127"/>
      <c r="AC439" s="22"/>
      <c r="AD439" s="22"/>
      <c r="AE439" s="22"/>
      <c r="AF439" s="22"/>
      <c r="AG439" s="22"/>
      <c r="AH439" s="127"/>
    </row>
    <row r="440" spans="6:34" x14ac:dyDescent="0.2">
      <c r="F440" s="1"/>
      <c r="N440" s="127"/>
      <c r="O440" s="22"/>
      <c r="P440" s="22"/>
      <c r="Q440" s="22"/>
      <c r="R440" s="22"/>
      <c r="S440" s="22"/>
      <c r="T440" s="127"/>
      <c r="U440" s="127"/>
      <c r="V440" s="22"/>
      <c r="W440" s="22"/>
      <c r="X440" s="22"/>
      <c r="Y440" s="22"/>
      <c r="Z440" s="22"/>
      <c r="AA440" s="127"/>
      <c r="AB440" s="127"/>
      <c r="AC440" s="22"/>
      <c r="AD440" s="22"/>
      <c r="AE440" s="22"/>
      <c r="AF440" s="22"/>
      <c r="AG440" s="22"/>
      <c r="AH440" s="127"/>
    </row>
    <row r="441" spans="6:34" x14ac:dyDescent="0.2">
      <c r="F441" s="1"/>
      <c r="N441" s="127"/>
      <c r="O441" s="22"/>
      <c r="P441" s="22"/>
      <c r="Q441" s="22"/>
      <c r="R441" s="22"/>
      <c r="S441" s="22"/>
      <c r="T441" s="127"/>
      <c r="U441" s="127"/>
      <c r="V441" s="22"/>
      <c r="W441" s="22"/>
      <c r="X441" s="22"/>
      <c r="Y441" s="22"/>
      <c r="Z441" s="22"/>
      <c r="AA441" s="127"/>
      <c r="AB441" s="127"/>
      <c r="AC441" s="22"/>
      <c r="AD441" s="22"/>
      <c r="AE441" s="22"/>
      <c r="AF441" s="22"/>
      <c r="AG441" s="22"/>
      <c r="AH441" s="127"/>
    </row>
    <row r="442" spans="6:34" x14ac:dyDescent="0.2">
      <c r="F442" s="1"/>
      <c r="N442" s="127"/>
      <c r="O442" s="22"/>
      <c r="P442" s="22"/>
      <c r="Q442" s="22"/>
      <c r="R442" s="22"/>
      <c r="S442" s="22"/>
      <c r="T442" s="127"/>
      <c r="U442" s="127"/>
      <c r="V442" s="22"/>
      <c r="W442" s="22"/>
      <c r="X442" s="22"/>
      <c r="Y442" s="22"/>
      <c r="Z442" s="22"/>
      <c r="AA442" s="127"/>
      <c r="AB442" s="127"/>
      <c r="AC442" s="22"/>
      <c r="AD442" s="22"/>
      <c r="AE442" s="22"/>
      <c r="AF442" s="22"/>
      <c r="AG442" s="22"/>
      <c r="AH442" s="127"/>
    </row>
    <row r="443" spans="6:34" x14ac:dyDescent="0.2">
      <c r="F443" s="1"/>
      <c r="N443" s="127"/>
      <c r="O443" s="22"/>
      <c r="P443" s="22"/>
      <c r="Q443" s="22"/>
      <c r="R443" s="22"/>
      <c r="S443" s="22"/>
      <c r="T443" s="127"/>
      <c r="U443" s="127"/>
      <c r="V443" s="22"/>
      <c r="W443" s="22"/>
      <c r="X443" s="22"/>
      <c r="Y443" s="22"/>
      <c r="Z443" s="22"/>
      <c r="AA443" s="127"/>
      <c r="AB443" s="127"/>
      <c r="AC443" s="22"/>
      <c r="AD443" s="22"/>
      <c r="AE443" s="22"/>
      <c r="AF443" s="22"/>
      <c r="AG443" s="22"/>
      <c r="AH443" s="127"/>
    </row>
    <row r="444" spans="6:34" x14ac:dyDescent="0.2">
      <c r="F444" s="1"/>
      <c r="N444" s="127"/>
      <c r="O444" s="22"/>
      <c r="P444" s="22"/>
      <c r="Q444" s="22"/>
      <c r="R444" s="22"/>
      <c r="S444" s="22"/>
      <c r="T444" s="127"/>
      <c r="U444" s="127"/>
      <c r="V444" s="22"/>
      <c r="W444" s="22"/>
      <c r="X444" s="22"/>
      <c r="Y444" s="22"/>
      <c r="Z444" s="22"/>
      <c r="AA444" s="127"/>
      <c r="AB444" s="127"/>
      <c r="AC444" s="22"/>
      <c r="AD444" s="22"/>
      <c r="AE444" s="22"/>
      <c r="AF444" s="22"/>
      <c r="AG444" s="22"/>
      <c r="AH444" s="127"/>
    </row>
    <row r="445" spans="6:34" x14ac:dyDescent="0.2">
      <c r="F445" s="1"/>
      <c r="N445" s="127"/>
      <c r="O445" s="22"/>
      <c r="P445" s="22"/>
      <c r="Q445" s="22"/>
      <c r="R445" s="22"/>
      <c r="S445" s="22"/>
      <c r="T445" s="127"/>
      <c r="U445" s="127"/>
      <c r="V445" s="22"/>
      <c r="W445" s="22"/>
      <c r="X445" s="22"/>
      <c r="Y445" s="22"/>
      <c r="Z445" s="22"/>
      <c r="AA445" s="127"/>
      <c r="AB445" s="127"/>
      <c r="AC445" s="22"/>
      <c r="AD445" s="22"/>
      <c r="AE445" s="22"/>
      <c r="AF445" s="22"/>
      <c r="AG445" s="22"/>
      <c r="AH445" s="127"/>
    </row>
    <row r="446" spans="6:34" x14ac:dyDescent="0.2">
      <c r="F446" s="1"/>
      <c r="N446" s="127"/>
      <c r="O446" s="22"/>
      <c r="P446" s="22"/>
      <c r="Q446" s="22"/>
      <c r="R446" s="22"/>
      <c r="S446" s="22"/>
      <c r="T446" s="127"/>
      <c r="U446" s="127"/>
      <c r="V446" s="22"/>
      <c r="W446" s="22"/>
      <c r="X446" s="22"/>
      <c r="Y446" s="22"/>
      <c r="Z446" s="22"/>
      <c r="AA446" s="127"/>
      <c r="AB446" s="127"/>
      <c r="AC446" s="22"/>
      <c r="AD446" s="22"/>
      <c r="AE446" s="22"/>
      <c r="AF446" s="22"/>
      <c r="AG446" s="22"/>
      <c r="AH446" s="127"/>
    </row>
    <row r="447" spans="6:34" x14ac:dyDescent="0.2">
      <c r="F447" s="1"/>
      <c r="N447" s="127"/>
      <c r="O447" s="22"/>
      <c r="P447" s="22"/>
      <c r="Q447" s="22"/>
      <c r="R447" s="22"/>
      <c r="S447" s="22"/>
      <c r="T447" s="127"/>
      <c r="U447" s="127"/>
      <c r="V447" s="22"/>
      <c r="W447" s="22"/>
      <c r="X447" s="22"/>
      <c r="Y447" s="22"/>
      <c r="Z447" s="22"/>
      <c r="AA447" s="127"/>
      <c r="AB447" s="127"/>
      <c r="AC447" s="22"/>
      <c r="AD447" s="22"/>
      <c r="AE447" s="22"/>
      <c r="AF447" s="22"/>
      <c r="AG447" s="22"/>
      <c r="AH447" s="127"/>
    </row>
    <row r="448" spans="6:34" x14ac:dyDescent="0.2">
      <c r="F448" s="1"/>
      <c r="N448" s="127"/>
      <c r="O448" s="22"/>
      <c r="P448" s="22"/>
      <c r="Q448" s="22"/>
      <c r="R448" s="22"/>
      <c r="S448" s="22"/>
      <c r="T448" s="127"/>
      <c r="U448" s="127"/>
      <c r="V448" s="22"/>
      <c r="W448" s="22"/>
      <c r="X448" s="22"/>
      <c r="Y448" s="22"/>
      <c r="Z448" s="22"/>
      <c r="AA448" s="127"/>
      <c r="AB448" s="127"/>
      <c r="AC448" s="22"/>
      <c r="AD448" s="22"/>
      <c r="AE448" s="22"/>
      <c r="AF448" s="22"/>
      <c r="AG448" s="22"/>
      <c r="AH448" s="127"/>
    </row>
    <row r="449" spans="6:34" x14ac:dyDescent="0.2">
      <c r="F449" s="1"/>
      <c r="N449" s="127"/>
      <c r="O449" s="22"/>
      <c r="P449" s="22"/>
      <c r="Q449" s="22"/>
      <c r="R449" s="22"/>
      <c r="S449" s="22"/>
      <c r="T449" s="127"/>
      <c r="U449" s="127"/>
      <c r="V449" s="22"/>
      <c r="W449" s="22"/>
      <c r="X449" s="22"/>
      <c r="Y449" s="22"/>
      <c r="Z449" s="22"/>
      <c r="AA449" s="127"/>
      <c r="AB449" s="127"/>
      <c r="AC449" s="22"/>
      <c r="AD449" s="22"/>
      <c r="AE449" s="22"/>
      <c r="AF449" s="22"/>
      <c r="AG449" s="22"/>
      <c r="AH449" s="127"/>
    </row>
    <row r="450" spans="6:34" x14ac:dyDescent="0.2">
      <c r="F450" s="1"/>
      <c r="N450" s="127"/>
      <c r="O450" s="22"/>
      <c r="P450" s="22"/>
      <c r="Q450" s="22"/>
      <c r="R450" s="22"/>
      <c r="S450" s="22"/>
      <c r="T450" s="127"/>
      <c r="U450" s="127"/>
      <c r="V450" s="22"/>
      <c r="W450" s="22"/>
      <c r="X450" s="22"/>
      <c r="Y450" s="22"/>
      <c r="Z450" s="22"/>
      <c r="AA450" s="127"/>
      <c r="AB450" s="127"/>
      <c r="AC450" s="22"/>
      <c r="AD450" s="22"/>
      <c r="AE450" s="22"/>
      <c r="AF450" s="22"/>
      <c r="AG450" s="22"/>
      <c r="AH450" s="127"/>
    </row>
    <row r="451" spans="6:34" x14ac:dyDescent="0.2">
      <c r="F451" s="1"/>
      <c r="N451" s="127"/>
      <c r="O451" s="22"/>
      <c r="P451" s="22"/>
      <c r="Q451" s="22"/>
      <c r="R451" s="22"/>
      <c r="S451" s="22"/>
      <c r="T451" s="127"/>
      <c r="U451" s="127"/>
      <c r="V451" s="22"/>
      <c r="W451" s="22"/>
      <c r="X451" s="22"/>
      <c r="Y451" s="22"/>
      <c r="Z451" s="22"/>
      <c r="AA451" s="127"/>
      <c r="AB451" s="127"/>
      <c r="AC451" s="22"/>
      <c r="AD451" s="22"/>
      <c r="AE451" s="22"/>
      <c r="AF451" s="22"/>
      <c r="AG451" s="22"/>
      <c r="AH451" s="127"/>
    </row>
    <row r="452" spans="6:34" x14ac:dyDescent="0.2">
      <c r="F452" s="1"/>
      <c r="N452" s="127"/>
      <c r="O452" s="22"/>
      <c r="P452" s="22"/>
      <c r="Q452" s="22"/>
      <c r="R452" s="22"/>
      <c r="S452" s="22"/>
      <c r="T452" s="127"/>
      <c r="U452" s="127"/>
      <c r="V452" s="22"/>
      <c r="W452" s="22"/>
      <c r="X452" s="22"/>
      <c r="Y452" s="22"/>
      <c r="Z452" s="22"/>
      <c r="AA452" s="127"/>
      <c r="AB452" s="127"/>
      <c r="AC452" s="22"/>
      <c r="AD452" s="22"/>
      <c r="AE452" s="22"/>
      <c r="AF452" s="22"/>
      <c r="AG452" s="22"/>
      <c r="AH452" s="127"/>
    </row>
    <row r="453" spans="6:34" x14ac:dyDescent="0.2">
      <c r="F453" s="1"/>
      <c r="N453" s="127"/>
      <c r="O453" s="22"/>
      <c r="P453" s="22"/>
      <c r="Q453" s="22"/>
      <c r="R453" s="22"/>
      <c r="S453" s="22"/>
      <c r="T453" s="127"/>
      <c r="U453" s="127"/>
      <c r="V453" s="22"/>
      <c r="W453" s="22"/>
      <c r="X453" s="22"/>
      <c r="Y453" s="22"/>
      <c r="Z453" s="22"/>
      <c r="AA453" s="127"/>
      <c r="AB453" s="127"/>
      <c r="AC453" s="22"/>
      <c r="AD453" s="22"/>
      <c r="AE453" s="22"/>
      <c r="AF453" s="22"/>
      <c r="AG453" s="22"/>
      <c r="AH453" s="127"/>
    </row>
    <row r="454" spans="6:34" x14ac:dyDescent="0.2">
      <c r="F454" s="1"/>
      <c r="N454" s="127"/>
      <c r="O454" s="22"/>
      <c r="P454" s="22"/>
      <c r="Q454" s="22"/>
      <c r="R454" s="22"/>
      <c r="S454" s="22"/>
      <c r="T454" s="127"/>
      <c r="U454" s="127"/>
      <c r="V454" s="22"/>
      <c r="W454" s="22"/>
      <c r="X454" s="22"/>
      <c r="Y454" s="22"/>
      <c r="Z454" s="22"/>
      <c r="AA454" s="127"/>
      <c r="AB454" s="127"/>
      <c r="AC454" s="22"/>
      <c r="AD454" s="22"/>
      <c r="AE454" s="22"/>
      <c r="AF454" s="22"/>
      <c r="AG454" s="22"/>
      <c r="AH454" s="127"/>
    </row>
    <row r="455" spans="6:34" x14ac:dyDescent="0.2">
      <c r="F455" s="1"/>
      <c r="N455" s="127"/>
      <c r="O455" s="22"/>
      <c r="P455" s="22"/>
      <c r="Q455" s="22"/>
      <c r="R455" s="22"/>
      <c r="S455" s="22"/>
      <c r="T455" s="127"/>
      <c r="U455" s="127"/>
      <c r="V455" s="22"/>
      <c r="W455" s="22"/>
      <c r="X455" s="22"/>
      <c r="Y455" s="22"/>
      <c r="Z455" s="22"/>
      <c r="AA455" s="127"/>
      <c r="AB455" s="127"/>
      <c r="AC455" s="22"/>
      <c r="AD455" s="22"/>
      <c r="AE455" s="22"/>
      <c r="AF455" s="22"/>
      <c r="AG455" s="22"/>
      <c r="AH455" s="127"/>
    </row>
    <row r="456" spans="6:34" x14ac:dyDescent="0.2">
      <c r="F456" s="1"/>
      <c r="N456" s="127"/>
      <c r="O456" s="22"/>
      <c r="P456" s="22"/>
      <c r="Q456" s="22"/>
      <c r="R456" s="22"/>
      <c r="S456" s="22"/>
      <c r="T456" s="127"/>
      <c r="U456" s="127"/>
      <c r="V456" s="22"/>
      <c r="W456" s="22"/>
      <c r="X456" s="22"/>
      <c r="Y456" s="22"/>
      <c r="Z456" s="22"/>
      <c r="AA456" s="127"/>
      <c r="AB456" s="127"/>
      <c r="AC456" s="22"/>
      <c r="AD456" s="22"/>
      <c r="AE456" s="22"/>
      <c r="AF456" s="22"/>
      <c r="AG456" s="22"/>
      <c r="AH456" s="127"/>
    </row>
    <row r="457" spans="6:34" x14ac:dyDescent="0.2">
      <c r="F457" s="1"/>
      <c r="N457" s="127"/>
      <c r="O457" s="22"/>
      <c r="P457" s="22"/>
      <c r="Q457" s="22"/>
      <c r="R457" s="22"/>
      <c r="S457" s="22"/>
      <c r="T457" s="127"/>
      <c r="U457" s="127"/>
      <c r="V457" s="22"/>
      <c r="W457" s="22"/>
      <c r="X457" s="22"/>
      <c r="Y457" s="22"/>
      <c r="Z457" s="22"/>
      <c r="AA457" s="127"/>
      <c r="AB457" s="127"/>
      <c r="AC457" s="22"/>
      <c r="AD457" s="22"/>
      <c r="AE457" s="22"/>
      <c r="AF457" s="22"/>
      <c r="AG457" s="22"/>
      <c r="AH457" s="127"/>
    </row>
    <row r="458" spans="6:34" x14ac:dyDescent="0.2">
      <c r="F458" s="1"/>
      <c r="N458" s="127"/>
      <c r="O458" s="22"/>
      <c r="P458" s="22"/>
      <c r="Q458" s="22"/>
      <c r="R458" s="22"/>
      <c r="S458" s="22"/>
      <c r="T458" s="127"/>
      <c r="U458" s="127"/>
      <c r="V458" s="22"/>
      <c r="W458" s="22"/>
      <c r="X458" s="22"/>
      <c r="Y458" s="22"/>
      <c r="Z458" s="22"/>
      <c r="AA458" s="127"/>
      <c r="AB458" s="127"/>
      <c r="AC458" s="22"/>
      <c r="AD458" s="22"/>
      <c r="AE458" s="22"/>
      <c r="AF458" s="22"/>
      <c r="AG458" s="22"/>
      <c r="AH458" s="127"/>
    </row>
    <row r="459" spans="6:34" x14ac:dyDescent="0.2">
      <c r="F459" s="1"/>
      <c r="N459" s="127"/>
      <c r="O459" s="22"/>
      <c r="P459" s="22"/>
      <c r="Q459" s="22"/>
      <c r="R459" s="22"/>
      <c r="S459" s="22"/>
      <c r="T459" s="127"/>
      <c r="U459" s="127"/>
      <c r="V459" s="22"/>
      <c r="W459" s="22"/>
      <c r="X459" s="22"/>
      <c r="Y459" s="22"/>
      <c r="Z459" s="22"/>
      <c r="AA459" s="127"/>
      <c r="AB459" s="127"/>
      <c r="AC459" s="22"/>
      <c r="AD459" s="22"/>
      <c r="AE459" s="22"/>
      <c r="AF459" s="22"/>
      <c r="AG459" s="22"/>
      <c r="AH459" s="127"/>
    </row>
    <row r="460" spans="6:34" x14ac:dyDescent="0.2">
      <c r="F460" s="1"/>
      <c r="N460" s="127"/>
      <c r="O460" s="22"/>
      <c r="P460" s="22"/>
      <c r="Q460" s="22"/>
      <c r="R460" s="22"/>
      <c r="S460" s="22"/>
      <c r="T460" s="127"/>
      <c r="U460" s="127"/>
      <c r="V460" s="22"/>
      <c r="W460" s="22"/>
      <c r="X460" s="22"/>
      <c r="Y460" s="22"/>
      <c r="Z460" s="22"/>
      <c r="AA460" s="127"/>
      <c r="AB460" s="127"/>
      <c r="AC460" s="22"/>
      <c r="AD460" s="22"/>
      <c r="AE460" s="22"/>
      <c r="AF460" s="22"/>
      <c r="AG460" s="22"/>
      <c r="AH460" s="127"/>
    </row>
    <row r="461" spans="6:34" x14ac:dyDescent="0.2">
      <c r="F461" s="1"/>
      <c r="N461" s="127"/>
      <c r="O461" s="22"/>
      <c r="P461" s="22"/>
      <c r="Q461" s="22"/>
      <c r="R461" s="22"/>
      <c r="S461" s="22"/>
      <c r="T461" s="127"/>
      <c r="U461" s="127"/>
      <c r="V461" s="22"/>
      <c r="W461" s="22"/>
      <c r="X461" s="22"/>
      <c r="Y461" s="22"/>
      <c r="Z461" s="22"/>
      <c r="AA461" s="127"/>
      <c r="AB461" s="127"/>
      <c r="AC461" s="22"/>
      <c r="AD461" s="22"/>
      <c r="AE461" s="22"/>
      <c r="AF461" s="22"/>
      <c r="AG461" s="22"/>
      <c r="AH461" s="127"/>
    </row>
    <row r="462" spans="6:34" x14ac:dyDescent="0.2">
      <c r="F462" s="1"/>
      <c r="N462" s="127"/>
      <c r="O462" s="22"/>
      <c r="P462" s="22"/>
      <c r="Q462" s="22"/>
      <c r="R462" s="22"/>
      <c r="S462" s="22"/>
      <c r="T462" s="127"/>
      <c r="U462" s="127"/>
      <c r="V462" s="22"/>
      <c r="W462" s="22"/>
      <c r="X462" s="22"/>
      <c r="Y462" s="22"/>
      <c r="Z462" s="22"/>
      <c r="AA462" s="127"/>
      <c r="AB462" s="127"/>
      <c r="AC462" s="22"/>
      <c r="AD462" s="22"/>
      <c r="AE462" s="22"/>
      <c r="AF462" s="22"/>
      <c r="AG462" s="22"/>
      <c r="AH462" s="127"/>
    </row>
    <row r="463" spans="6:34" x14ac:dyDescent="0.2">
      <c r="F463" s="1"/>
      <c r="N463" s="127"/>
      <c r="O463" s="22"/>
      <c r="P463" s="22"/>
      <c r="Q463" s="22"/>
      <c r="R463" s="22"/>
      <c r="S463" s="22"/>
      <c r="T463" s="127"/>
      <c r="U463" s="127"/>
      <c r="V463" s="22"/>
      <c r="W463" s="22"/>
      <c r="X463" s="22"/>
      <c r="Y463" s="22"/>
      <c r="Z463" s="22"/>
      <c r="AA463" s="127"/>
      <c r="AB463" s="127"/>
      <c r="AC463" s="22"/>
      <c r="AD463" s="22"/>
      <c r="AE463" s="22"/>
      <c r="AF463" s="22"/>
      <c r="AG463" s="22"/>
      <c r="AH463" s="127"/>
    </row>
    <row r="464" spans="6:34" x14ac:dyDescent="0.2">
      <c r="F464" s="1"/>
      <c r="N464" s="127"/>
      <c r="O464" s="22"/>
      <c r="P464" s="22"/>
      <c r="Q464" s="22"/>
      <c r="R464" s="22"/>
      <c r="S464" s="22"/>
      <c r="T464" s="127"/>
      <c r="U464" s="127"/>
      <c r="V464" s="22"/>
      <c r="W464" s="22"/>
      <c r="X464" s="22"/>
      <c r="Y464" s="22"/>
      <c r="Z464" s="22"/>
      <c r="AA464" s="127"/>
      <c r="AB464" s="127"/>
      <c r="AC464" s="22"/>
      <c r="AD464" s="22"/>
      <c r="AE464" s="22"/>
      <c r="AF464" s="22"/>
      <c r="AG464" s="22"/>
      <c r="AH464" s="127"/>
    </row>
    <row r="465" spans="6:34" x14ac:dyDescent="0.2">
      <c r="F465" s="1"/>
      <c r="N465" s="127"/>
      <c r="O465" s="22"/>
      <c r="P465" s="22"/>
      <c r="Q465" s="22"/>
      <c r="R465" s="22"/>
      <c r="S465" s="22"/>
      <c r="T465" s="127"/>
      <c r="U465" s="127"/>
      <c r="V465" s="22"/>
      <c r="W465" s="22"/>
      <c r="X465" s="22"/>
      <c r="Y465" s="22"/>
      <c r="Z465" s="22"/>
      <c r="AA465" s="127"/>
      <c r="AB465" s="127"/>
      <c r="AC465" s="22"/>
      <c r="AD465" s="22"/>
      <c r="AE465" s="22"/>
      <c r="AF465" s="22"/>
      <c r="AG465" s="22"/>
      <c r="AH465" s="127"/>
    </row>
    <row r="466" spans="6:34" x14ac:dyDescent="0.2">
      <c r="F466" s="1"/>
      <c r="N466" s="127"/>
      <c r="O466" s="22"/>
      <c r="P466" s="22"/>
      <c r="Q466" s="22"/>
      <c r="R466" s="22"/>
      <c r="S466" s="22"/>
      <c r="T466" s="127"/>
      <c r="U466" s="127"/>
      <c r="V466" s="22"/>
      <c r="W466" s="22"/>
      <c r="X466" s="22"/>
      <c r="Y466" s="22"/>
      <c r="Z466" s="22"/>
      <c r="AA466" s="127"/>
      <c r="AB466" s="127"/>
      <c r="AC466" s="22"/>
      <c r="AD466" s="22"/>
      <c r="AE466" s="22"/>
      <c r="AF466" s="22"/>
      <c r="AG466" s="22"/>
      <c r="AH466" s="127"/>
    </row>
    <row r="467" spans="6:34" x14ac:dyDescent="0.2">
      <c r="F467" s="1"/>
      <c r="N467" s="127"/>
      <c r="O467" s="22"/>
      <c r="P467" s="22"/>
      <c r="Q467" s="22"/>
      <c r="R467" s="22"/>
      <c r="S467" s="22"/>
      <c r="T467" s="127"/>
      <c r="U467" s="127"/>
      <c r="V467" s="22"/>
      <c r="W467" s="22"/>
      <c r="X467" s="22"/>
      <c r="Y467" s="22"/>
      <c r="Z467" s="22"/>
      <c r="AA467" s="127"/>
      <c r="AB467" s="127"/>
      <c r="AC467" s="22"/>
      <c r="AD467" s="22"/>
      <c r="AE467" s="22"/>
      <c r="AF467" s="22"/>
      <c r="AG467" s="22"/>
      <c r="AH467" s="127"/>
    </row>
    <row r="468" spans="6:34" x14ac:dyDescent="0.2">
      <c r="F468" s="1"/>
      <c r="N468" s="127"/>
      <c r="O468" s="22"/>
      <c r="P468" s="22"/>
      <c r="Q468" s="22"/>
      <c r="R468" s="22"/>
      <c r="S468" s="22"/>
      <c r="T468" s="127"/>
      <c r="U468" s="127"/>
      <c r="V468" s="22"/>
      <c r="W468" s="22"/>
      <c r="X468" s="22"/>
      <c r="Y468" s="22"/>
      <c r="Z468" s="22"/>
      <c r="AA468" s="127"/>
      <c r="AB468" s="127"/>
      <c r="AC468" s="22"/>
      <c r="AD468" s="22"/>
      <c r="AE468" s="22"/>
      <c r="AF468" s="22"/>
      <c r="AG468" s="22"/>
      <c r="AH468" s="127"/>
    </row>
    <row r="469" spans="6:34" x14ac:dyDescent="0.2">
      <c r="F469" s="1"/>
      <c r="N469" s="127"/>
      <c r="O469" s="22"/>
      <c r="P469" s="22"/>
      <c r="Q469" s="22"/>
      <c r="R469" s="22"/>
      <c r="S469" s="22"/>
      <c r="T469" s="127"/>
      <c r="U469" s="127"/>
      <c r="V469" s="22"/>
      <c r="W469" s="22"/>
      <c r="X469" s="22"/>
      <c r="Y469" s="22"/>
      <c r="Z469" s="22"/>
      <c r="AA469" s="127"/>
      <c r="AB469" s="127"/>
      <c r="AC469" s="22"/>
      <c r="AD469" s="22"/>
      <c r="AE469" s="22"/>
      <c r="AF469" s="22"/>
      <c r="AG469" s="22"/>
      <c r="AH469" s="127"/>
    </row>
    <row r="470" spans="6:34" x14ac:dyDescent="0.2">
      <c r="F470" s="1"/>
      <c r="N470" s="127"/>
      <c r="O470" s="22"/>
      <c r="P470" s="22"/>
      <c r="Q470" s="22"/>
      <c r="R470" s="22"/>
      <c r="S470" s="22"/>
      <c r="T470" s="127"/>
      <c r="U470" s="127"/>
      <c r="V470" s="22"/>
      <c r="W470" s="22"/>
      <c r="X470" s="22"/>
      <c r="Y470" s="22"/>
      <c r="Z470" s="22"/>
      <c r="AA470" s="127"/>
      <c r="AB470" s="127"/>
      <c r="AC470" s="22"/>
      <c r="AD470" s="22"/>
      <c r="AE470" s="22"/>
      <c r="AF470" s="22"/>
      <c r="AG470" s="22"/>
      <c r="AH470" s="127"/>
    </row>
    <row r="471" spans="6:34" x14ac:dyDescent="0.2">
      <c r="F471" s="1"/>
      <c r="N471" s="127"/>
      <c r="O471" s="22"/>
      <c r="P471" s="22"/>
      <c r="Q471" s="22"/>
      <c r="R471" s="22"/>
      <c r="S471" s="22"/>
      <c r="T471" s="127"/>
      <c r="U471" s="127"/>
      <c r="V471" s="22"/>
      <c r="W471" s="22"/>
      <c r="X471" s="22"/>
      <c r="Y471" s="22"/>
      <c r="Z471" s="22"/>
      <c r="AA471" s="127"/>
      <c r="AB471" s="127"/>
      <c r="AC471" s="22"/>
      <c r="AD471" s="22"/>
      <c r="AE471" s="22"/>
      <c r="AF471" s="22"/>
      <c r="AG471" s="22"/>
      <c r="AH471" s="127"/>
    </row>
    <row r="472" spans="6:34" x14ac:dyDescent="0.2">
      <c r="F472" s="1"/>
      <c r="N472" s="127"/>
      <c r="O472" s="22"/>
      <c r="P472" s="22"/>
      <c r="Q472" s="22"/>
      <c r="R472" s="22"/>
      <c r="S472" s="22"/>
      <c r="T472" s="127"/>
      <c r="U472" s="127"/>
      <c r="V472" s="22"/>
      <c r="W472" s="22"/>
      <c r="X472" s="22"/>
      <c r="Y472" s="22"/>
      <c r="Z472" s="22"/>
      <c r="AA472" s="127"/>
      <c r="AB472" s="127"/>
      <c r="AC472" s="22"/>
      <c r="AD472" s="22"/>
      <c r="AE472" s="22"/>
      <c r="AF472" s="22"/>
      <c r="AG472" s="22"/>
      <c r="AH472" s="127"/>
    </row>
    <row r="473" spans="6:34" x14ac:dyDescent="0.2">
      <c r="F473" s="1"/>
      <c r="N473" s="127"/>
      <c r="O473" s="22"/>
      <c r="P473" s="22"/>
      <c r="Q473" s="22"/>
      <c r="R473" s="22"/>
      <c r="S473" s="22"/>
      <c r="T473" s="127"/>
      <c r="U473" s="127"/>
      <c r="V473" s="22"/>
      <c r="W473" s="22"/>
      <c r="X473" s="22"/>
      <c r="Y473" s="22"/>
      <c r="Z473" s="22"/>
      <c r="AA473" s="127"/>
      <c r="AB473" s="127"/>
      <c r="AC473" s="22"/>
      <c r="AD473" s="22"/>
      <c r="AE473" s="22"/>
      <c r="AF473" s="22"/>
      <c r="AG473" s="22"/>
      <c r="AH473" s="127"/>
    </row>
    <row r="474" spans="6:34" x14ac:dyDescent="0.2">
      <c r="F474" s="1"/>
      <c r="N474" s="127"/>
      <c r="O474" s="22"/>
      <c r="P474" s="22"/>
      <c r="Q474" s="22"/>
      <c r="R474" s="22"/>
      <c r="S474" s="22"/>
      <c r="T474" s="127"/>
      <c r="U474" s="127"/>
      <c r="V474" s="22"/>
      <c r="W474" s="22"/>
      <c r="X474" s="22"/>
      <c r="Y474" s="22"/>
      <c r="Z474" s="22"/>
      <c r="AA474" s="127"/>
      <c r="AB474" s="127"/>
      <c r="AC474" s="22"/>
      <c r="AD474" s="22"/>
      <c r="AE474" s="22"/>
      <c r="AF474" s="22"/>
      <c r="AG474" s="22"/>
      <c r="AH474" s="127"/>
    </row>
    <row r="475" spans="6:34" x14ac:dyDescent="0.2">
      <c r="F475" s="1"/>
      <c r="N475" s="127"/>
      <c r="O475" s="22"/>
      <c r="P475" s="22"/>
      <c r="Q475" s="22"/>
      <c r="R475" s="22"/>
      <c r="S475" s="22"/>
      <c r="T475" s="127"/>
      <c r="U475" s="127"/>
      <c r="V475" s="22"/>
      <c r="W475" s="22"/>
      <c r="X475" s="22"/>
      <c r="Y475" s="22"/>
      <c r="Z475" s="22"/>
      <c r="AA475" s="127"/>
      <c r="AB475" s="127"/>
      <c r="AC475" s="22"/>
      <c r="AD475" s="22"/>
      <c r="AE475" s="22"/>
      <c r="AF475" s="22"/>
      <c r="AG475" s="22"/>
      <c r="AH475" s="127"/>
    </row>
    <row r="476" spans="6:34" x14ac:dyDescent="0.2">
      <c r="F476" s="1"/>
      <c r="N476" s="127"/>
      <c r="O476" s="22"/>
      <c r="P476" s="22"/>
      <c r="Q476" s="22"/>
      <c r="R476" s="22"/>
      <c r="S476" s="22"/>
      <c r="T476" s="127"/>
      <c r="U476" s="127"/>
      <c r="V476" s="22"/>
      <c r="W476" s="22"/>
      <c r="X476" s="22"/>
      <c r="Y476" s="22"/>
      <c r="Z476" s="22"/>
      <c r="AA476" s="127"/>
      <c r="AB476" s="127"/>
      <c r="AC476" s="22"/>
      <c r="AD476" s="22"/>
      <c r="AE476" s="22"/>
      <c r="AF476" s="22"/>
      <c r="AG476" s="22"/>
      <c r="AH476" s="127"/>
    </row>
    <row r="477" spans="6:34" x14ac:dyDescent="0.2">
      <c r="F477" s="1"/>
      <c r="N477" s="127"/>
      <c r="O477" s="22"/>
      <c r="P477" s="22"/>
      <c r="Q477" s="22"/>
      <c r="R477" s="22"/>
      <c r="S477" s="22"/>
      <c r="T477" s="127"/>
      <c r="U477" s="127"/>
      <c r="V477" s="22"/>
      <c r="W477" s="22"/>
      <c r="X477" s="22"/>
      <c r="Y477" s="22"/>
      <c r="Z477" s="22"/>
      <c r="AA477" s="127"/>
      <c r="AB477" s="127"/>
      <c r="AC477" s="22"/>
      <c r="AD477" s="22"/>
      <c r="AE477" s="22"/>
      <c r="AF477" s="22"/>
      <c r="AG477" s="22"/>
      <c r="AH477" s="127"/>
    </row>
    <row r="478" spans="6:34" x14ac:dyDescent="0.2">
      <c r="F478" s="1"/>
      <c r="N478" s="127"/>
      <c r="O478" s="22"/>
      <c r="P478" s="22"/>
      <c r="Q478" s="22"/>
      <c r="R478" s="22"/>
      <c r="S478" s="22"/>
      <c r="T478" s="127"/>
      <c r="U478" s="127"/>
      <c r="V478" s="22"/>
      <c r="W478" s="22"/>
      <c r="X478" s="22"/>
      <c r="Y478" s="22"/>
      <c r="Z478" s="22"/>
      <c r="AA478" s="127"/>
      <c r="AB478" s="127"/>
      <c r="AC478" s="22"/>
      <c r="AD478" s="22"/>
      <c r="AE478" s="22"/>
      <c r="AF478" s="22"/>
      <c r="AG478" s="22"/>
      <c r="AH478" s="127"/>
    </row>
    <row r="479" spans="6:34" x14ac:dyDescent="0.2">
      <c r="F479" s="1"/>
      <c r="N479" s="127"/>
      <c r="O479" s="22"/>
      <c r="P479" s="22"/>
      <c r="Q479" s="22"/>
      <c r="R479" s="22"/>
      <c r="S479" s="22"/>
      <c r="T479" s="127"/>
      <c r="U479" s="127"/>
      <c r="V479" s="22"/>
      <c r="W479" s="22"/>
      <c r="X479" s="22"/>
      <c r="Y479" s="22"/>
      <c r="Z479" s="22"/>
      <c r="AA479" s="127"/>
      <c r="AB479" s="127"/>
      <c r="AC479" s="22"/>
      <c r="AD479" s="22"/>
      <c r="AE479" s="22"/>
      <c r="AF479" s="22"/>
      <c r="AG479" s="22"/>
      <c r="AH479" s="127"/>
    </row>
    <row r="480" spans="6:34" x14ac:dyDescent="0.2">
      <c r="F480" s="1"/>
      <c r="N480" s="127"/>
      <c r="O480" s="22"/>
      <c r="P480" s="22"/>
      <c r="Q480" s="22"/>
      <c r="R480" s="22"/>
      <c r="S480" s="22"/>
      <c r="T480" s="127"/>
      <c r="U480" s="127"/>
      <c r="V480" s="22"/>
      <c r="W480" s="22"/>
      <c r="X480" s="22"/>
      <c r="Y480" s="22"/>
      <c r="Z480" s="22"/>
      <c r="AA480" s="127"/>
      <c r="AB480" s="127"/>
      <c r="AC480" s="22"/>
      <c r="AD480" s="22"/>
      <c r="AE480" s="22"/>
      <c r="AF480" s="22"/>
      <c r="AG480" s="22"/>
      <c r="AH480" s="127"/>
    </row>
    <row r="481" spans="6:34" x14ac:dyDescent="0.2">
      <c r="F481" s="1"/>
      <c r="N481" s="127"/>
      <c r="O481" s="22"/>
      <c r="P481" s="22"/>
      <c r="Q481" s="22"/>
      <c r="R481" s="22"/>
      <c r="S481" s="22"/>
      <c r="T481" s="127"/>
      <c r="U481" s="127"/>
      <c r="V481" s="22"/>
      <c r="W481" s="22"/>
      <c r="X481" s="22"/>
      <c r="Y481" s="22"/>
      <c r="Z481" s="22"/>
      <c r="AA481" s="127"/>
      <c r="AB481" s="127"/>
      <c r="AC481" s="22"/>
      <c r="AD481" s="22"/>
      <c r="AE481" s="22"/>
      <c r="AF481" s="22"/>
      <c r="AG481" s="22"/>
      <c r="AH481" s="127"/>
    </row>
    <row r="482" spans="6:34" x14ac:dyDescent="0.2">
      <c r="F482" s="1"/>
      <c r="N482" s="127"/>
      <c r="O482" s="22"/>
      <c r="P482" s="22"/>
      <c r="Q482" s="22"/>
      <c r="R482" s="22"/>
      <c r="S482" s="22"/>
      <c r="T482" s="127"/>
      <c r="U482" s="127"/>
      <c r="V482" s="22"/>
      <c r="W482" s="22"/>
      <c r="X482" s="22"/>
      <c r="Y482" s="22"/>
      <c r="Z482" s="22"/>
      <c r="AA482" s="127"/>
      <c r="AB482" s="127"/>
      <c r="AC482" s="22"/>
      <c r="AD482" s="22"/>
      <c r="AE482" s="22"/>
      <c r="AF482" s="22"/>
      <c r="AG482" s="22"/>
      <c r="AH482" s="127"/>
    </row>
    <row r="483" spans="6:34" x14ac:dyDescent="0.2">
      <c r="F483" s="1"/>
      <c r="N483" s="127"/>
      <c r="O483" s="22"/>
      <c r="P483" s="22"/>
      <c r="Q483" s="22"/>
      <c r="R483" s="22"/>
      <c r="S483" s="22"/>
      <c r="T483" s="127"/>
      <c r="U483" s="127"/>
      <c r="V483" s="22"/>
      <c r="W483" s="22"/>
      <c r="X483" s="22"/>
      <c r="Y483" s="22"/>
      <c r="Z483" s="22"/>
      <c r="AA483" s="127"/>
      <c r="AB483" s="127"/>
      <c r="AC483" s="22"/>
      <c r="AD483" s="22"/>
      <c r="AE483" s="22"/>
      <c r="AF483" s="22"/>
      <c r="AG483" s="22"/>
      <c r="AH483" s="127"/>
    </row>
    <row r="484" spans="6:34" x14ac:dyDescent="0.2">
      <c r="F484" s="1"/>
      <c r="N484" s="127"/>
      <c r="O484" s="22"/>
      <c r="P484" s="22"/>
      <c r="Q484" s="22"/>
      <c r="R484" s="22"/>
      <c r="S484" s="22"/>
      <c r="T484" s="127"/>
      <c r="U484" s="127"/>
      <c r="V484" s="22"/>
      <c r="W484" s="22"/>
      <c r="X484" s="22"/>
      <c r="Y484" s="22"/>
      <c r="Z484" s="22"/>
      <c r="AA484" s="127"/>
      <c r="AB484" s="127"/>
      <c r="AC484" s="22"/>
      <c r="AD484" s="22"/>
      <c r="AE484" s="22"/>
      <c r="AF484" s="22"/>
      <c r="AG484" s="22"/>
      <c r="AH484" s="127"/>
    </row>
    <row r="485" spans="6:34" x14ac:dyDescent="0.2">
      <c r="F485" s="1"/>
      <c r="N485" s="127"/>
      <c r="O485" s="22"/>
      <c r="P485" s="22"/>
      <c r="Q485" s="22"/>
      <c r="R485" s="22"/>
      <c r="S485" s="22"/>
      <c r="T485" s="127"/>
      <c r="U485" s="127"/>
      <c r="V485" s="22"/>
      <c r="W485" s="22"/>
      <c r="X485" s="22"/>
      <c r="Y485" s="22"/>
      <c r="Z485" s="22"/>
      <c r="AA485" s="127"/>
      <c r="AB485" s="127"/>
      <c r="AC485" s="22"/>
      <c r="AD485" s="22"/>
      <c r="AE485" s="22"/>
      <c r="AF485" s="22"/>
      <c r="AG485" s="22"/>
      <c r="AH485" s="127"/>
    </row>
    <row r="486" spans="6:34" x14ac:dyDescent="0.2">
      <c r="F486" s="1"/>
      <c r="N486" s="127"/>
      <c r="O486" s="22"/>
      <c r="P486" s="22"/>
      <c r="Q486" s="22"/>
      <c r="R486" s="22"/>
      <c r="S486" s="22"/>
      <c r="T486" s="127"/>
      <c r="U486" s="127"/>
      <c r="V486" s="22"/>
      <c r="W486" s="22"/>
      <c r="X486" s="22"/>
      <c r="Y486" s="22"/>
      <c r="Z486" s="22"/>
      <c r="AA486" s="127"/>
      <c r="AB486" s="127"/>
      <c r="AC486" s="22"/>
      <c r="AD486" s="22"/>
      <c r="AE486" s="22"/>
      <c r="AF486" s="22"/>
      <c r="AG486" s="22"/>
      <c r="AH486" s="127"/>
    </row>
    <row r="487" spans="6:34" x14ac:dyDescent="0.2">
      <c r="F487" s="1"/>
      <c r="N487" s="127"/>
      <c r="O487" s="22"/>
      <c r="P487" s="22"/>
      <c r="Q487" s="22"/>
      <c r="R487" s="22"/>
      <c r="S487" s="22"/>
      <c r="T487" s="127"/>
      <c r="U487" s="127"/>
      <c r="V487" s="22"/>
      <c r="W487" s="22"/>
      <c r="X487" s="22"/>
      <c r="Y487" s="22"/>
      <c r="Z487" s="22"/>
      <c r="AA487" s="127"/>
      <c r="AB487" s="127"/>
      <c r="AC487" s="22"/>
      <c r="AD487" s="22"/>
      <c r="AE487" s="22"/>
      <c r="AF487" s="22"/>
      <c r="AG487" s="22"/>
      <c r="AH487" s="127"/>
    </row>
    <row r="488" spans="6:34" x14ac:dyDescent="0.2">
      <c r="F488" s="1"/>
      <c r="N488" s="127"/>
      <c r="O488" s="22"/>
      <c r="P488" s="22"/>
      <c r="Q488" s="22"/>
      <c r="R488" s="22"/>
      <c r="S488" s="22"/>
      <c r="T488" s="127"/>
      <c r="U488" s="127"/>
      <c r="V488" s="22"/>
      <c r="W488" s="22"/>
      <c r="X488" s="22"/>
      <c r="Y488" s="22"/>
      <c r="Z488" s="22"/>
      <c r="AA488" s="127"/>
      <c r="AB488" s="127"/>
      <c r="AC488" s="22"/>
      <c r="AD488" s="22"/>
      <c r="AE488" s="22"/>
      <c r="AF488" s="22"/>
      <c r="AG488" s="22"/>
      <c r="AH488" s="127"/>
    </row>
    <row r="489" spans="6:34" x14ac:dyDescent="0.2">
      <c r="F489" s="1"/>
      <c r="N489" s="127"/>
      <c r="O489" s="22"/>
      <c r="P489" s="22"/>
      <c r="Q489" s="22"/>
      <c r="R489" s="22"/>
      <c r="S489" s="22"/>
      <c r="T489" s="127"/>
      <c r="U489" s="127"/>
      <c r="V489" s="22"/>
      <c r="W489" s="22"/>
      <c r="X489" s="22"/>
      <c r="Y489" s="22"/>
      <c r="Z489" s="22"/>
      <c r="AA489" s="127"/>
      <c r="AB489" s="127"/>
      <c r="AC489" s="22"/>
      <c r="AD489" s="22"/>
      <c r="AE489" s="22"/>
      <c r="AF489" s="22"/>
      <c r="AG489" s="22"/>
      <c r="AH489" s="127"/>
    </row>
    <row r="490" spans="6:34" x14ac:dyDescent="0.2">
      <c r="F490" s="1"/>
      <c r="N490" s="127"/>
      <c r="O490" s="22"/>
      <c r="P490" s="22"/>
      <c r="Q490" s="22"/>
      <c r="R490" s="22"/>
      <c r="S490" s="22"/>
      <c r="T490" s="127"/>
      <c r="U490" s="127"/>
      <c r="V490" s="22"/>
      <c r="W490" s="22"/>
      <c r="X490" s="22"/>
      <c r="Y490" s="22"/>
      <c r="Z490" s="22"/>
      <c r="AA490" s="127"/>
      <c r="AB490" s="127"/>
      <c r="AC490" s="22"/>
      <c r="AD490" s="22"/>
      <c r="AE490" s="22"/>
      <c r="AF490" s="22"/>
      <c r="AG490" s="22"/>
      <c r="AH490" s="127"/>
    </row>
    <row r="491" spans="6:34" x14ac:dyDescent="0.2">
      <c r="F491" s="1"/>
      <c r="N491" s="127"/>
      <c r="O491" s="22"/>
      <c r="P491" s="22"/>
      <c r="Q491" s="22"/>
      <c r="R491" s="22"/>
      <c r="S491" s="22"/>
      <c r="T491" s="127"/>
      <c r="U491" s="127"/>
      <c r="V491" s="22"/>
      <c r="W491" s="22"/>
      <c r="X491" s="22"/>
      <c r="Y491" s="22"/>
      <c r="Z491" s="22"/>
      <c r="AA491" s="127"/>
      <c r="AB491" s="127"/>
      <c r="AC491" s="22"/>
      <c r="AD491" s="22"/>
      <c r="AE491" s="22"/>
      <c r="AF491" s="22"/>
      <c r="AG491" s="22"/>
      <c r="AH491" s="127"/>
    </row>
    <row r="492" spans="6:34" x14ac:dyDescent="0.2">
      <c r="F492" s="1"/>
      <c r="N492" s="127"/>
      <c r="O492" s="22"/>
      <c r="P492" s="22"/>
      <c r="Q492" s="22"/>
      <c r="R492" s="22"/>
      <c r="S492" s="22"/>
      <c r="T492" s="127"/>
      <c r="U492" s="127"/>
      <c r="V492" s="22"/>
      <c r="W492" s="22"/>
      <c r="X492" s="22"/>
      <c r="Y492" s="22"/>
      <c r="Z492" s="22"/>
      <c r="AA492" s="127"/>
      <c r="AB492" s="127"/>
      <c r="AC492" s="22"/>
      <c r="AD492" s="22"/>
      <c r="AE492" s="22"/>
      <c r="AF492" s="22"/>
      <c r="AG492" s="22"/>
      <c r="AH492" s="127"/>
    </row>
    <row r="493" spans="6:34" x14ac:dyDescent="0.2">
      <c r="F493" s="1"/>
      <c r="N493" s="127"/>
      <c r="O493" s="22"/>
      <c r="P493" s="22"/>
      <c r="Q493" s="22"/>
      <c r="R493" s="22"/>
      <c r="S493" s="22"/>
      <c r="T493" s="127"/>
      <c r="U493" s="127"/>
      <c r="V493" s="22"/>
      <c r="W493" s="22"/>
      <c r="X493" s="22"/>
      <c r="Y493" s="22"/>
      <c r="Z493" s="22"/>
      <c r="AA493" s="127"/>
      <c r="AB493" s="127"/>
      <c r="AC493" s="22"/>
      <c r="AD493" s="22"/>
      <c r="AE493" s="22"/>
      <c r="AF493" s="22"/>
      <c r="AG493" s="22"/>
      <c r="AH493" s="127"/>
    </row>
    <row r="494" spans="6:34" x14ac:dyDescent="0.2">
      <c r="F494" s="1"/>
      <c r="N494" s="127"/>
      <c r="O494" s="22"/>
      <c r="P494" s="22"/>
      <c r="Q494" s="22"/>
      <c r="R494" s="22"/>
      <c r="S494" s="22"/>
      <c r="T494" s="127"/>
      <c r="U494" s="127"/>
      <c r="V494" s="22"/>
      <c r="W494" s="22"/>
      <c r="X494" s="22"/>
      <c r="Y494" s="22"/>
      <c r="Z494" s="22"/>
      <c r="AA494" s="127"/>
      <c r="AB494" s="127"/>
      <c r="AC494" s="22"/>
      <c r="AD494" s="22"/>
      <c r="AE494" s="22"/>
      <c r="AF494" s="22"/>
      <c r="AG494" s="22"/>
      <c r="AH494" s="127"/>
    </row>
    <row r="495" spans="6:34" x14ac:dyDescent="0.2">
      <c r="F495" s="1"/>
      <c r="N495" s="127"/>
      <c r="O495" s="22"/>
      <c r="P495" s="22"/>
      <c r="Q495" s="22"/>
      <c r="R495" s="22"/>
      <c r="S495" s="22"/>
      <c r="T495" s="127"/>
      <c r="U495" s="127"/>
      <c r="V495" s="22"/>
      <c r="W495" s="22"/>
      <c r="X495" s="22"/>
      <c r="Y495" s="22"/>
      <c r="Z495" s="22"/>
      <c r="AA495" s="127"/>
      <c r="AB495" s="127"/>
      <c r="AC495" s="22"/>
      <c r="AD495" s="22"/>
      <c r="AE495" s="22"/>
      <c r="AF495" s="22"/>
      <c r="AG495" s="22"/>
      <c r="AH495" s="127"/>
    </row>
    <row r="496" spans="6:34" x14ac:dyDescent="0.2">
      <c r="F496" s="1"/>
      <c r="N496" s="127"/>
      <c r="O496" s="22"/>
      <c r="P496" s="22"/>
      <c r="Q496" s="22"/>
      <c r="R496" s="22"/>
      <c r="S496" s="22"/>
      <c r="T496" s="127"/>
      <c r="U496" s="127"/>
      <c r="V496" s="22"/>
      <c r="W496" s="22"/>
      <c r="X496" s="22"/>
      <c r="Y496" s="22"/>
      <c r="Z496" s="22"/>
      <c r="AA496" s="127"/>
      <c r="AB496" s="127"/>
      <c r="AC496" s="22"/>
      <c r="AD496" s="22"/>
      <c r="AE496" s="22"/>
      <c r="AF496" s="22"/>
      <c r="AG496" s="22"/>
      <c r="AH496" s="127"/>
    </row>
    <row r="497" spans="6:34" x14ac:dyDescent="0.2">
      <c r="F497" s="1"/>
      <c r="N497" s="127"/>
      <c r="O497" s="22"/>
      <c r="P497" s="22"/>
      <c r="Q497" s="22"/>
      <c r="R497" s="22"/>
      <c r="S497" s="22"/>
      <c r="T497" s="127"/>
      <c r="U497" s="127"/>
      <c r="V497" s="22"/>
      <c r="W497" s="22"/>
      <c r="X497" s="22"/>
      <c r="Y497" s="22"/>
      <c r="Z497" s="22"/>
      <c r="AA497" s="127"/>
      <c r="AB497" s="127"/>
      <c r="AC497" s="22"/>
      <c r="AD497" s="22"/>
      <c r="AE497" s="22"/>
      <c r="AF497" s="22"/>
      <c r="AG497" s="22"/>
      <c r="AH497" s="127"/>
    </row>
    <row r="498" spans="6:34" x14ac:dyDescent="0.2">
      <c r="F498" s="1"/>
      <c r="N498" s="127"/>
      <c r="O498" s="22"/>
      <c r="P498" s="22"/>
      <c r="Q498" s="22"/>
      <c r="R498" s="22"/>
      <c r="S498" s="22"/>
      <c r="T498" s="127"/>
      <c r="U498" s="127"/>
      <c r="V498" s="22"/>
      <c r="W498" s="22"/>
      <c r="X498" s="22"/>
      <c r="Y498" s="22"/>
      <c r="Z498" s="22"/>
      <c r="AA498" s="127"/>
      <c r="AB498" s="127"/>
      <c r="AC498" s="22"/>
      <c r="AD498" s="22"/>
      <c r="AE498" s="22"/>
      <c r="AF498" s="22"/>
      <c r="AG498" s="22"/>
      <c r="AH498" s="127"/>
    </row>
    <row r="499" spans="6:34" x14ac:dyDescent="0.2">
      <c r="F499" s="1"/>
      <c r="N499" s="127"/>
      <c r="O499" s="22"/>
      <c r="P499" s="22"/>
      <c r="Q499" s="22"/>
      <c r="R499" s="22"/>
      <c r="S499" s="22"/>
      <c r="T499" s="127"/>
      <c r="U499" s="127"/>
      <c r="V499" s="22"/>
      <c r="W499" s="22"/>
      <c r="X499" s="22"/>
      <c r="Y499" s="22"/>
      <c r="Z499" s="22"/>
      <c r="AA499" s="127"/>
      <c r="AB499" s="127"/>
      <c r="AC499" s="22"/>
      <c r="AD499" s="22"/>
      <c r="AE499" s="22"/>
      <c r="AF499" s="22"/>
      <c r="AG499" s="22"/>
      <c r="AH499" s="127"/>
    </row>
    <row r="500" spans="6:34" x14ac:dyDescent="0.2">
      <c r="F500" s="1"/>
      <c r="N500" s="127"/>
      <c r="O500" s="22"/>
      <c r="P500" s="22"/>
      <c r="Q500" s="22"/>
      <c r="R500" s="22"/>
      <c r="S500" s="22"/>
      <c r="T500" s="127"/>
      <c r="U500" s="127"/>
      <c r="V500" s="22"/>
      <c r="W500" s="22"/>
      <c r="X500" s="22"/>
      <c r="Y500" s="22"/>
      <c r="Z500" s="22"/>
      <c r="AA500" s="127"/>
      <c r="AB500" s="127"/>
      <c r="AC500" s="22"/>
      <c r="AD500" s="22"/>
      <c r="AE500" s="22"/>
      <c r="AF500" s="22"/>
      <c r="AG500" s="22"/>
      <c r="AH500" s="127"/>
    </row>
    <row r="501" spans="6:34" x14ac:dyDescent="0.2">
      <c r="F501" s="1"/>
      <c r="N501" s="127"/>
      <c r="O501" s="22"/>
      <c r="P501" s="22"/>
      <c r="Q501" s="22"/>
      <c r="R501" s="22"/>
      <c r="S501" s="22"/>
      <c r="T501" s="127"/>
      <c r="U501" s="127"/>
      <c r="V501" s="22"/>
      <c r="W501" s="22"/>
      <c r="X501" s="22"/>
      <c r="Y501" s="22"/>
      <c r="Z501" s="22"/>
      <c r="AA501" s="127"/>
      <c r="AB501" s="127"/>
      <c r="AC501" s="22"/>
      <c r="AD501" s="22"/>
      <c r="AE501" s="22"/>
      <c r="AF501" s="22"/>
      <c r="AG501" s="22"/>
      <c r="AH501" s="127"/>
    </row>
    <row r="502" spans="6:34" x14ac:dyDescent="0.2">
      <c r="F502" s="1"/>
      <c r="N502" s="127"/>
      <c r="O502" s="22"/>
      <c r="P502" s="22"/>
      <c r="Q502" s="22"/>
      <c r="R502" s="22"/>
      <c r="S502" s="22"/>
      <c r="T502" s="127"/>
      <c r="U502" s="127"/>
      <c r="V502" s="22"/>
      <c r="W502" s="22"/>
      <c r="X502" s="22"/>
      <c r="Y502" s="22"/>
      <c r="Z502" s="22"/>
      <c r="AA502" s="127"/>
      <c r="AB502" s="127"/>
      <c r="AC502" s="22"/>
      <c r="AD502" s="22"/>
      <c r="AE502" s="22"/>
      <c r="AF502" s="22"/>
      <c r="AG502" s="22"/>
      <c r="AH502" s="127"/>
    </row>
    <row r="503" spans="6:34" x14ac:dyDescent="0.2">
      <c r="F503" s="1"/>
      <c r="N503" s="127"/>
      <c r="O503" s="22"/>
      <c r="P503" s="22"/>
      <c r="Q503" s="22"/>
      <c r="R503" s="22"/>
      <c r="S503" s="22"/>
      <c r="T503" s="127"/>
      <c r="U503" s="127"/>
      <c r="V503" s="22"/>
      <c r="W503" s="22"/>
      <c r="X503" s="22"/>
      <c r="Y503" s="22"/>
      <c r="Z503" s="22"/>
      <c r="AA503" s="127"/>
      <c r="AB503" s="127"/>
      <c r="AC503" s="22"/>
      <c r="AD503" s="22"/>
      <c r="AE503" s="22"/>
      <c r="AF503" s="22"/>
      <c r="AG503" s="22"/>
      <c r="AH503" s="127"/>
    </row>
    <row r="504" spans="6:34" x14ac:dyDescent="0.2">
      <c r="F504" s="1"/>
      <c r="N504" s="127"/>
      <c r="O504" s="22"/>
      <c r="P504" s="22"/>
      <c r="Q504" s="22"/>
      <c r="R504" s="22"/>
      <c r="S504" s="22"/>
      <c r="T504" s="127"/>
      <c r="U504" s="127"/>
      <c r="V504" s="22"/>
      <c r="W504" s="22"/>
      <c r="X504" s="22"/>
      <c r="Y504" s="22"/>
      <c r="Z504" s="22"/>
      <c r="AA504" s="127"/>
      <c r="AB504" s="127"/>
      <c r="AC504" s="22"/>
      <c r="AD504" s="22"/>
      <c r="AE504" s="22"/>
      <c r="AF504" s="22"/>
      <c r="AG504" s="22"/>
      <c r="AH504" s="127"/>
    </row>
    <row r="505" spans="6:34" x14ac:dyDescent="0.2">
      <c r="F505" s="1"/>
      <c r="N505" s="127"/>
      <c r="O505" s="22"/>
      <c r="P505" s="22"/>
      <c r="Q505" s="22"/>
      <c r="R505" s="22"/>
      <c r="S505" s="22"/>
      <c r="T505" s="127"/>
      <c r="U505" s="127"/>
      <c r="V505" s="22"/>
      <c r="W505" s="22"/>
      <c r="X505" s="22"/>
      <c r="Y505" s="22"/>
      <c r="Z505" s="22"/>
      <c r="AA505" s="127"/>
      <c r="AB505" s="127"/>
      <c r="AC505" s="22"/>
      <c r="AD505" s="22"/>
      <c r="AE505" s="22"/>
      <c r="AF505" s="22"/>
      <c r="AG505" s="22"/>
      <c r="AH505" s="127"/>
    </row>
    <row r="506" spans="6:34" x14ac:dyDescent="0.2">
      <c r="F506" s="1"/>
      <c r="N506" s="127"/>
      <c r="O506" s="22"/>
      <c r="P506" s="22"/>
      <c r="Q506" s="22"/>
      <c r="R506" s="22"/>
      <c r="S506" s="22"/>
      <c r="T506" s="127"/>
      <c r="U506" s="127"/>
      <c r="V506" s="22"/>
      <c r="W506" s="22"/>
      <c r="X506" s="22"/>
      <c r="Y506" s="22"/>
      <c r="Z506" s="22"/>
      <c r="AA506" s="127"/>
      <c r="AB506" s="127"/>
      <c r="AC506" s="22"/>
      <c r="AD506" s="22"/>
      <c r="AE506" s="22"/>
      <c r="AF506" s="22"/>
      <c r="AG506" s="22"/>
      <c r="AH506" s="127"/>
    </row>
    <row r="507" spans="6:34" x14ac:dyDescent="0.2">
      <c r="F507" s="1"/>
      <c r="N507" s="127"/>
      <c r="O507" s="22"/>
      <c r="P507" s="22"/>
      <c r="Q507" s="22"/>
      <c r="R507" s="22"/>
      <c r="S507" s="22"/>
      <c r="T507" s="127"/>
      <c r="U507" s="127"/>
      <c r="V507" s="22"/>
      <c r="W507" s="22"/>
      <c r="X507" s="22"/>
      <c r="Y507" s="22"/>
      <c r="Z507" s="22"/>
      <c r="AA507" s="127"/>
      <c r="AB507" s="127"/>
      <c r="AC507" s="22"/>
      <c r="AD507" s="22"/>
      <c r="AE507" s="22"/>
      <c r="AF507" s="22"/>
      <c r="AG507" s="22"/>
      <c r="AH507" s="127"/>
    </row>
    <row r="508" spans="6:34" x14ac:dyDescent="0.2">
      <c r="F508" s="1"/>
      <c r="N508" s="127"/>
      <c r="O508" s="22"/>
      <c r="P508" s="22"/>
      <c r="Q508" s="22"/>
      <c r="R508" s="22"/>
      <c r="S508" s="22"/>
      <c r="T508" s="127"/>
      <c r="U508" s="127"/>
      <c r="V508" s="22"/>
      <c r="W508" s="22"/>
      <c r="X508" s="22"/>
      <c r="Y508" s="22"/>
      <c r="Z508" s="22"/>
      <c r="AA508" s="127"/>
      <c r="AB508" s="127"/>
      <c r="AC508" s="22"/>
      <c r="AD508" s="22"/>
      <c r="AE508" s="22"/>
      <c r="AF508" s="22"/>
      <c r="AG508" s="22"/>
      <c r="AH508" s="127"/>
    </row>
    <row r="509" spans="6:34" x14ac:dyDescent="0.2">
      <c r="F509" s="1"/>
      <c r="N509" s="127"/>
      <c r="O509" s="22"/>
      <c r="P509" s="22"/>
      <c r="Q509" s="22"/>
      <c r="R509" s="22"/>
      <c r="S509" s="22"/>
      <c r="T509" s="127"/>
      <c r="U509" s="127"/>
      <c r="V509" s="22"/>
      <c r="W509" s="22"/>
      <c r="X509" s="22"/>
      <c r="Y509" s="22"/>
      <c r="Z509" s="22"/>
      <c r="AA509" s="127"/>
      <c r="AB509" s="127"/>
      <c r="AC509" s="22"/>
      <c r="AD509" s="22"/>
      <c r="AE509" s="22"/>
      <c r="AF509" s="22"/>
      <c r="AG509" s="22"/>
      <c r="AH509" s="127"/>
    </row>
    <row r="510" spans="6:34" x14ac:dyDescent="0.2">
      <c r="F510" s="1"/>
      <c r="N510" s="127"/>
      <c r="O510" s="22"/>
      <c r="P510" s="22"/>
      <c r="Q510" s="22"/>
      <c r="R510" s="22"/>
      <c r="S510" s="22"/>
      <c r="T510" s="127"/>
      <c r="U510" s="127"/>
      <c r="V510" s="22"/>
      <c r="W510" s="22"/>
      <c r="X510" s="22"/>
      <c r="Y510" s="22"/>
      <c r="Z510" s="22"/>
      <c r="AA510" s="127"/>
      <c r="AB510" s="127"/>
      <c r="AC510" s="22"/>
      <c r="AD510" s="22"/>
      <c r="AE510" s="22"/>
      <c r="AF510" s="22"/>
      <c r="AG510" s="22"/>
      <c r="AH510" s="127"/>
    </row>
    <row r="511" spans="6:34" x14ac:dyDescent="0.2">
      <c r="F511" s="1"/>
      <c r="N511" s="127"/>
      <c r="O511" s="22"/>
      <c r="P511" s="22"/>
      <c r="Q511" s="22"/>
      <c r="R511" s="22"/>
      <c r="S511" s="22"/>
      <c r="T511" s="127"/>
      <c r="U511" s="127"/>
      <c r="V511" s="22"/>
      <c r="W511" s="22"/>
      <c r="X511" s="22"/>
      <c r="Y511" s="22"/>
      <c r="Z511" s="22"/>
      <c r="AA511" s="127"/>
      <c r="AB511" s="127"/>
      <c r="AC511" s="22"/>
      <c r="AD511" s="22"/>
      <c r="AE511" s="22"/>
      <c r="AF511" s="22"/>
      <c r="AG511" s="22"/>
      <c r="AH511" s="127"/>
    </row>
    <row r="512" spans="6:34" x14ac:dyDescent="0.2">
      <c r="F512" s="1"/>
      <c r="N512" s="127"/>
      <c r="O512" s="22"/>
      <c r="P512" s="22"/>
      <c r="Q512" s="22"/>
      <c r="R512" s="22"/>
      <c r="S512" s="22"/>
      <c r="T512" s="127"/>
      <c r="U512" s="127"/>
      <c r="V512" s="22"/>
      <c r="W512" s="22"/>
      <c r="X512" s="22"/>
      <c r="Y512" s="22"/>
      <c r="Z512" s="22"/>
      <c r="AA512" s="127"/>
      <c r="AB512" s="127"/>
      <c r="AC512" s="22"/>
      <c r="AD512" s="22"/>
      <c r="AE512" s="22"/>
      <c r="AF512" s="22"/>
      <c r="AG512" s="22"/>
      <c r="AH512" s="127"/>
    </row>
    <row r="513" spans="6:34" x14ac:dyDescent="0.2">
      <c r="F513" s="1"/>
      <c r="N513" s="127"/>
      <c r="O513" s="22"/>
      <c r="P513" s="22"/>
      <c r="Q513" s="22"/>
      <c r="R513" s="22"/>
      <c r="S513" s="22"/>
      <c r="T513" s="127"/>
      <c r="U513" s="127"/>
      <c r="V513" s="22"/>
      <c r="W513" s="22"/>
      <c r="X513" s="22"/>
      <c r="Y513" s="22"/>
      <c r="Z513" s="22"/>
      <c r="AA513" s="127"/>
      <c r="AB513" s="127"/>
      <c r="AC513" s="22"/>
      <c r="AD513" s="22"/>
      <c r="AE513" s="22"/>
      <c r="AF513" s="22"/>
      <c r="AG513" s="22"/>
      <c r="AH513" s="127"/>
    </row>
    <row r="514" spans="6:34" x14ac:dyDescent="0.2">
      <c r="F514" s="1"/>
      <c r="N514" s="127"/>
      <c r="O514" s="22"/>
      <c r="P514" s="22"/>
      <c r="Q514" s="22"/>
      <c r="R514" s="22"/>
      <c r="S514" s="22"/>
      <c r="T514" s="127"/>
      <c r="U514" s="127"/>
      <c r="V514" s="22"/>
      <c r="W514" s="22"/>
      <c r="X514" s="22"/>
      <c r="Y514" s="22"/>
      <c r="Z514" s="22"/>
      <c r="AA514" s="127"/>
      <c r="AB514" s="127"/>
      <c r="AC514" s="22"/>
      <c r="AD514" s="22"/>
      <c r="AE514" s="22"/>
      <c r="AF514" s="22"/>
      <c r="AG514" s="22"/>
      <c r="AH514" s="127"/>
    </row>
    <row r="515" spans="6:34" x14ac:dyDescent="0.2">
      <c r="F515" s="1"/>
      <c r="N515" s="127"/>
      <c r="O515" s="22"/>
      <c r="P515" s="22"/>
      <c r="Q515" s="22"/>
      <c r="R515" s="22"/>
      <c r="S515" s="22"/>
      <c r="T515" s="127"/>
      <c r="U515" s="127"/>
      <c r="V515" s="22"/>
      <c r="W515" s="22"/>
      <c r="X515" s="22"/>
      <c r="Y515" s="22"/>
      <c r="Z515" s="22"/>
      <c r="AA515" s="127"/>
      <c r="AB515" s="127"/>
      <c r="AC515" s="22"/>
      <c r="AD515" s="22"/>
      <c r="AE515" s="22"/>
      <c r="AF515" s="22"/>
      <c r="AG515" s="22"/>
      <c r="AH515" s="127"/>
    </row>
    <row r="516" spans="6:34" x14ac:dyDescent="0.2">
      <c r="F516" s="1"/>
      <c r="N516" s="127"/>
      <c r="O516" s="22"/>
      <c r="P516" s="22"/>
      <c r="Q516" s="22"/>
      <c r="R516" s="22"/>
      <c r="S516" s="22"/>
      <c r="T516" s="127"/>
      <c r="U516" s="127"/>
      <c r="V516" s="22"/>
      <c r="W516" s="22"/>
      <c r="X516" s="22"/>
      <c r="Y516" s="22"/>
      <c r="Z516" s="22"/>
      <c r="AA516" s="127"/>
      <c r="AB516" s="127"/>
      <c r="AC516" s="22"/>
      <c r="AD516" s="22"/>
      <c r="AE516" s="22"/>
      <c r="AF516" s="22"/>
      <c r="AG516" s="22"/>
      <c r="AH516" s="127"/>
    </row>
    <row r="517" spans="6:34" x14ac:dyDescent="0.2">
      <c r="F517" s="1"/>
      <c r="N517" s="127"/>
      <c r="O517" s="22"/>
      <c r="P517" s="22"/>
      <c r="Q517" s="22"/>
      <c r="R517" s="22"/>
      <c r="S517" s="22"/>
      <c r="T517" s="127"/>
      <c r="U517" s="127"/>
      <c r="V517" s="22"/>
      <c r="W517" s="22"/>
      <c r="X517" s="22"/>
      <c r="Y517" s="22"/>
      <c r="Z517" s="22"/>
      <c r="AA517" s="127"/>
      <c r="AB517" s="127"/>
      <c r="AC517" s="22"/>
      <c r="AD517" s="22"/>
      <c r="AE517" s="22"/>
      <c r="AF517" s="22"/>
      <c r="AG517" s="22"/>
      <c r="AH517" s="127"/>
    </row>
    <row r="518" spans="6:34" x14ac:dyDescent="0.2">
      <c r="F518" s="1"/>
      <c r="N518" s="127"/>
      <c r="O518" s="22"/>
      <c r="P518" s="22"/>
      <c r="Q518" s="22"/>
      <c r="R518" s="22"/>
      <c r="S518" s="22"/>
      <c r="T518" s="127"/>
      <c r="U518" s="127"/>
      <c r="V518" s="22"/>
      <c r="W518" s="22"/>
      <c r="X518" s="22"/>
      <c r="Y518" s="22"/>
      <c r="Z518" s="22"/>
      <c r="AA518" s="127"/>
      <c r="AB518" s="127"/>
      <c r="AC518" s="22"/>
      <c r="AD518" s="22"/>
      <c r="AE518" s="22"/>
      <c r="AF518" s="22"/>
      <c r="AG518" s="22"/>
      <c r="AH518" s="127"/>
    </row>
    <row r="519" spans="6:34" x14ac:dyDescent="0.2">
      <c r="F519" s="1"/>
      <c r="N519" s="127"/>
      <c r="O519" s="22"/>
      <c r="P519" s="22"/>
      <c r="Q519" s="22"/>
      <c r="R519" s="22"/>
      <c r="S519" s="22"/>
      <c r="T519" s="127"/>
      <c r="U519" s="127"/>
      <c r="V519" s="22"/>
      <c r="W519" s="22"/>
      <c r="X519" s="22"/>
      <c r="Y519" s="22"/>
      <c r="Z519" s="22"/>
      <c r="AA519" s="127"/>
      <c r="AB519" s="127"/>
      <c r="AC519" s="22"/>
      <c r="AD519" s="22"/>
      <c r="AE519" s="22"/>
      <c r="AF519" s="22"/>
      <c r="AG519" s="22"/>
      <c r="AH519" s="127"/>
    </row>
    <row r="520" spans="6:34" x14ac:dyDescent="0.2">
      <c r="F520" s="1"/>
      <c r="N520" s="127"/>
      <c r="O520" s="22"/>
      <c r="P520" s="22"/>
      <c r="Q520" s="22"/>
      <c r="R520" s="22"/>
      <c r="S520" s="22"/>
      <c r="T520" s="127"/>
      <c r="U520" s="127"/>
      <c r="V520" s="22"/>
      <c r="W520" s="22"/>
      <c r="X520" s="22"/>
      <c r="Y520" s="22"/>
      <c r="Z520" s="22"/>
      <c r="AA520" s="127"/>
      <c r="AB520" s="127"/>
      <c r="AC520" s="22"/>
      <c r="AD520" s="22"/>
      <c r="AE520" s="22"/>
      <c r="AF520" s="22"/>
      <c r="AG520" s="22"/>
      <c r="AH520" s="127"/>
    </row>
    <row r="521" spans="6:34" x14ac:dyDescent="0.2">
      <c r="F521" s="1"/>
      <c r="N521" s="127"/>
      <c r="O521" s="22"/>
      <c r="P521" s="22"/>
      <c r="Q521" s="22"/>
      <c r="R521" s="22"/>
      <c r="S521" s="22"/>
      <c r="T521" s="127"/>
      <c r="U521" s="127"/>
      <c r="V521" s="22"/>
      <c r="W521" s="22"/>
      <c r="X521" s="22"/>
      <c r="Y521" s="22"/>
      <c r="Z521" s="22"/>
      <c r="AA521" s="127"/>
      <c r="AB521" s="127"/>
      <c r="AC521" s="22"/>
      <c r="AD521" s="22"/>
      <c r="AE521" s="22"/>
      <c r="AF521" s="22"/>
      <c r="AG521" s="22"/>
      <c r="AH521" s="127"/>
    </row>
    <row r="522" spans="6:34" x14ac:dyDescent="0.2">
      <c r="F522" s="1"/>
      <c r="N522" s="127"/>
      <c r="O522" s="22"/>
      <c r="P522" s="22"/>
      <c r="Q522" s="22"/>
      <c r="R522" s="22"/>
      <c r="S522" s="22"/>
      <c r="T522" s="127"/>
      <c r="U522" s="127"/>
      <c r="V522" s="22"/>
      <c r="W522" s="22"/>
      <c r="X522" s="22"/>
      <c r="Y522" s="22"/>
      <c r="Z522" s="22"/>
      <c r="AA522" s="127"/>
      <c r="AB522" s="127"/>
      <c r="AC522" s="22"/>
      <c r="AD522" s="22"/>
      <c r="AE522" s="22"/>
      <c r="AF522" s="22"/>
      <c r="AG522" s="22"/>
      <c r="AH522" s="127"/>
    </row>
    <row r="523" spans="6:34" x14ac:dyDescent="0.2">
      <c r="F523" s="1"/>
      <c r="N523" s="127"/>
      <c r="O523" s="22"/>
      <c r="P523" s="22"/>
      <c r="Q523" s="22"/>
      <c r="R523" s="22"/>
      <c r="S523" s="22"/>
      <c r="T523" s="127"/>
      <c r="U523" s="127"/>
      <c r="V523" s="22"/>
      <c r="W523" s="22"/>
      <c r="X523" s="22"/>
      <c r="Y523" s="22"/>
      <c r="Z523" s="22"/>
      <c r="AA523" s="127"/>
      <c r="AB523" s="127"/>
      <c r="AC523" s="22"/>
      <c r="AD523" s="22"/>
      <c r="AE523" s="22"/>
      <c r="AF523" s="22"/>
      <c r="AG523" s="22"/>
      <c r="AH523" s="127"/>
    </row>
    <row r="524" spans="6:34" x14ac:dyDescent="0.2">
      <c r="F524" s="1"/>
      <c r="N524" s="127"/>
      <c r="O524" s="22"/>
      <c r="P524" s="22"/>
      <c r="Q524" s="22"/>
      <c r="R524" s="22"/>
      <c r="S524" s="22"/>
      <c r="T524" s="127"/>
      <c r="U524" s="127"/>
      <c r="V524" s="22"/>
      <c r="W524" s="22"/>
      <c r="X524" s="22"/>
      <c r="Y524" s="22"/>
      <c r="Z524" s="22"/>
      <c r="AA524" s="127"/>
      <c r="AB524" s="127"/>
      <c r="AC524" s="22"/>
      <c r="AD524" s="22"/>
      <c r="AE524" s="22"/>
      <c r="AF524" s="22"/>
      <c r="AG524" s="22"/>
      <c r="AH524" s="127"/>
    </row>
    <row r="525" spans="6:34" x14ac:dyDescent="0.2">
      <c r="F525" s="1"/>
      <c r="N525" s="127"/>
      <c r="O525" s="22"/>
      <c r="P525" s="22"/>
      <c r="Q525" s="22"/>
      <c r="R525" s="22"/>
      <c r="S525" s="22"/>
      <c r="T525" s="127"/>
      <c r="U525" s="127"/>
      <c r="V525" s="22"/>
      <c r="W525" s="22"/>
      <c r="X525" s="22"/>
      <c r="Y525" s="22"/>
      <c r="Z525" s="22"/>
      <c r="AA525" s="127"/>
      <c r="AB525" s="127"/>
      <c r="AC525" s="22"/>
      <c r="AD525" s="22"/>
      <c r="AE525" s="22"/>
      <c r="AF525" s="22"/>
      <c r="AG525" s="22"/>
      <c r="AH525" s="127"/>
    </row>
    <row r="526" spans="6:34" x14ac:dyDescent="0.2">
      <c r="F526" s="1"/>
      <c r="N526" s="127"/>
      <c r="O526" s="22"/>
      <c r="P526" s="22"/>
      <c r="Q526" s="22"/>
      <c r="R526" s="22"/>
      <c r="S526" s="22"/>
      <c r="T526" s="127"/>
      <c r="U526" s="127"/>
      <c r="V526" s="22"/>
      <c r="W526" s="22"/>
      <c r="X526" s="22"/>
      <c r="Y526" s="22"/>
      <c r="Z526" s="22"/>
      <c r="AA526" s="127"/>
      <c r="AB526" s="127"/>
      <c r="AC526" s="22"/>
      <c r="AD526" s="22"/>
      <c r="AE526" s="22"/>
      <c r="AF526" s="22"/>
      <c r="AG526" s="22"/>
      <c r="AH526" s="127"/>
    </row>
    <row r="527" spans="6:34" x14ac:dyDescent="0.2">
      <c r="F527" s="1"/>
      <c r="N527" s="127"/>
      <c r="O527" s="22"/>
      <c r="P527" s="22"/>
      <c r="Q527" s="22"/>
      <c r="R527" s="22"/>
      <c r="S527" s="22"/>
      <c r="T527" s="127"/>
      <c r="U527" s="127"/>
      <c r="V527" s="22"/>
      <c r="W527" s="22"/>
      <c r="X527" s="22"/>
      <c r="Y527" s="22"/>
      <c r="Z527" s="22"/>
      <c r="AA527" s="127"/>
      <c r="AB527" s="127"/>
      <c r="AC527" s="22"/>
      <c r="AD527" s="22"/>
      <c r="AE527" s="22"/>
      <c r="AF527" s="22"/>
      <c r="AG527" s="22"/>
      <c r="AH527" s="127"/>
    </row>
    <row r="528" spans="6:34" x14ac:dyDescent="0.2">
      <c r="F528" s="1"/>
      <c r="N528" s="127"/>
      <c r="O528" s="22"/>
      <c r="P528" s="22"/>
      <c r="Q528" s="22"/>
      <c r="R528" s="22"/>
      <c r="S528" s="22"/>
      <c r="T528" s="127"/>
      <c r="U528" s="127"/>
      <c r="V528" s="22"/>
      <c r="W528" s="22"/>
      <c r="X528" s="22"/>
      <c r="Y528" s="22"/>
      <c r="Z528" s="22"/>
      <c r="AA528" s="127"/>
      <c r="AB528" s="127"/>
      <c r="AC528" s="22"/>
      <c r="AD528" s="22"/>
      <c r="AE528" s="22"/>
      <c r="AF528" s="22"/>
      <c r="AG528" s="22"/>
      <c r="AH528" s="127"/>
    </row>
    <row r="529" spans="6:34" x14ac:dyDescent="0.2">
      <c r="F529" s="1"/>
      <c r="N529" s="127"/>
      <c r="O529" s="22"/>
      <c r="P529" s="22"/>
      <c r="Q529" s="22"/>
      <c r="R529" s="22"/>
      <c r="S529" s="22"/>
      <c r="T529" s="127"/>
      <c r="U529" s="127"/>
      <c r="V529" s="22"/>
      <c r="W529" s="22"/>
      <c r="X529" s="22"/>
      <c r="Y529" s="22"/>
      <c r="Z529" s="22"/>
      <c r="AA529" s="127"/>
      <c r="AB529" s="127"/>
      <c r="AC529" s="22"/>
      <c r="AD529" s="22"/>
      <c r="AE529" s="22"/>
      <c r="AF529" s="22"/>
      <c r="AG529" s="22"/>
      <c r="AH529" s="127"/>
    </row>
    <row r="530" spans="6:34" x14ac:dyDescent="0.2">
      <c r="F530" s="1"/>
      <c r="N530" s="127"/>
      <c r="O530" s="22"/>
      <c r="P530" s="22"/>
      <c r="Q530" s="22"/>
      <c r="R530" s="22"/>
      <c r="S530" s="22"/>
      <c r="T530" s="127"/>
      <c r="U530" s="127"/>
      <c r="V530" s="22"/>
      <c r="W530" s="22"/>
      <c r="X530" s="22"/>
      <c r="Y530" s="22"/>
      <c r="Z530" s="22"/>
      <c r="AA530" s="127"/>
      <c r="AB530" s="127"/>
      <c r="AC530" s="22"/>
      <c r="AD530" s="22"/>
      <c r="AE530" s="22"/>
      <c r="AF530" s="22"/>
      <c r="AG530" s="22"/>
      <c r="AH530" s="127"/>
    </row>
    <row r="531" spans="6:34" x14ac:dyDescent="0.2">
      <c r="F531" s="1"/>
      <c r="N531" s="127"/>
      <c r="O531" s="22"/>
      <c r="P531" s="22"/>
      <c r="Q531" s="22"/>
      <c r="R531" s="22"/>
      <c r="S531" s="22"/>
      <c r="T531" s="127"/>
      <c r="U531" s="127"/>
      <c r="V531" s="22"/>
      <c r="W531" s="22"/>
      <c r="X531" s="22"/>
      <c r="Y531" s="22"/>
      <c r="Z531" s="22"/>
      <c r="AA531" s="127"/>
      <c r="AB531" s="127"/>
      <c r="AC531" s="22"/>
      <c r="AD531" s="22"/>
      <c r="AE531" s="22"/>
      <c r="AF531" s="22"/>
      <c r="AG531" s="22"/>
      <c r="AH531" s="127"/>
    </row>
    <row r="532" spans="6:34" x14ac:dyDescent="0.2">
      <c r="F532" s="1"/>
      <c r="N532" s="127"/>
      <c r="O532" s="22"/>
      <c r="P532" s="22"/>
      <c r="Q532" s="22"/>
      <c r="R532" s="22"/>
      <c r="S532" s="22"/>
      <c r="T532" s="127"/>
      <c r="U532" s="127"/>
      <c r="V532" s="22"/>
      <c r="W532" s="22"/>
      <c r="X532" s="22"/>
      <c r="Y532" s="22"/>
      <c r="Z532" s="22"/>
      <c r="AA532" s="127"/>
      <c r="AB532" s="127"/>
      <c r="AC532" s="22"/>
      <c r="AD532" s="22"/>
      <c r="AE532" s="22"/>
      <c r="AF532" s="22"/>
      <c r="AG532" s="22"/>
      <c r="AH532" s="127"/>
    </row>
    <row r="533" spans="6:34" x14ac:dyDescent="0.2">
      <c r="F533" s="1"/>
      <c r="N533" s="127"/>
      <c r="O533" s="22"/>
      <c r="P533" s="22"/>
      <c r="Q533" s="22"/>
      <c r="R533" s="22"/>
      <c r="S533" s="22"/>
      <c r="T533" s="127"/>
      <c r="U533" s="127"/>
      <c r="V533" s="22"/>
      <c r="W533" s="22"/>
      <c r="X533" s="22"/>
      <c r="Y533" s="22"/>
      <c r="Z533" s="22"/>
      <c r="AA533" s="127"/>
      <c r="AB533" s="127"/>
      <c r="AC533" s="22"/>
      <c r="AD533" s="22"/>
      <c r="AE533" s="22"/>
      <c r="AF533" s="22"/>
      <c r="AG533" s="22"/>
      <c r="AH533" s="127"/>
    </row>
    <row r="534" spans="6:34" x14ac:dyDescent="0.2">
      <c r="F534" s="1"/>
      <c r="N534" s="127"/>
      <c r="O534" s="22"/>
      <c r="P534" s="22"/>
      <c r="Q534" s="22"/>
      <c r="R534" s="22"/>
      <c r="S534" s="22"/>
      <c r="T534" s="127"/>
      <c r="U534" s="127"/>
      <c r="V534" s="22"/>
      <c r="W534" s="22"/>
      <c r="X534" s="22"/>
      <c r="Y534" s="22"/>
      <c r="Z534" s="22"/>
      <c r="AA534" s="127"/>
      <c r="AB534" s="127"/>
      <c r="AC534" s="22"/>
      <c r="AD534" s="22"/>
      <c r="AE534" s="22"/>
      <c r="AF534" s="22"/>
      <c r="AG534" s="22"/>
      <c r="AH534" s="127"/>
    </row>
    <row r="535" spans="6:34" x14ac:dyDescent="0.2">
      <c r="F535" s="1"/>
      <c r="N535" s="127"/>
      <c r="O535" s="22"/>
      <c r="P535" s="22"/>
      <c r="Q535" s="22"/>
      <c r="R535" s="22"/>
      <c r="S535" s="22"/>
      <c r="T535" s="127"/>
      <c r="U535" s="127"/>
      <c r="V535" s="22"/>
      <c r="W535" s="22"/>
      <c r="X535" s="22"/>
      <c r="Y535" s="22"/>
      <c r="Z535" s="22"/>
      <c r="AA535" s="127"/>
      <c r="AB535" s="127"/>
      <c r="AC535" s="22"/>
      <c r="AD535" s="22"/>
      <c r="AE535" s="22"/>
      <c r="AF535" s="22"/>
      <c r="AG535" s="22"/>
      <c r="AH535" s="127"/>
    </row>
    <row r="536" spans="6:34" x14ac:dyDescent="0.2">
      <c r="F536" s="1"/>
      <c r="N536" s="127"/>
      <c r="O536" s="22"/>
      <c r="P536" s="22"/>
      <c r="Q536" s="22"/>
      <c r="R536" s="22"/>
      <c r="S536" s="22"/>
      <c r="T536" s="127"/>
      <c r="U536" s="127"/>
      <c r="V536" s="22"/>
      <c r="W536" s="22"/>
      <c r="X536" s="22"/>
      <c r="Y536" s="22"/>
      <c r="Z536" s="22"/>
      <c r="AA536" s="127"/>
      <c r="AB536" s="127"/>
      <c r="AC536" s="22"/>
      <c r="AD536" s="22"/>
      <c r="AE536" s="22"/>
      <c r="AF536" s="22"/>
      <c r="AG536" s="22"/>
      <c r="AH536" s="127"/>
    </row>
    <row r="537" spans="6:34" x14ac:dyDescent="0.2">
      <c r="F537" s="1"/>
      <c r="N537" s="127"/>
      <c r="O537" s="22"/>
      <c r="P537" s="22"/>
      <c r="Q537" s="22"/>
      <c r="R537" s="22"/>
      <c r="S537" s="22"/>
      <c r="T537" s="127"/>
      <c r="U537" s="127"/>
      <c r="V537" s="22"/>
      <c r="W537" s="22"/>
      <c r="X537" s="22"/>
      <c r="Y537" s="22"/>
      <c r="Z537" s="22"/>
      <c r="AA537" s="127"/>
      <c r="AB537" s="127"/>
      <c r="AC537" s="22"/>
      <c r="AD537" s="22"/>
      <c r="AE537" s="22"/>
      <c r="AF537" s="22"/>
      <c r="AG537" s="22"/>
      <c r="AH537" s="127"/>
    </row>
    <row r="538" spans="6:34" x14ac:dyDescent="0.2">
      <c r="F538" s="1"/>
      <c r="N538" s="127"/>
      <c r="O538" s="22"/>
      <c r="P538" s="22"/>
      <c r="Q538" s="22"/>
      <c r="R538" s="22"/>
      <c r="S538" s="22"/>
      <c r="T538" s="127"/>
      <c r="U538" s="127"/>
      <c r="V538" s="22"/>
      <c r="W538" s="22"/>
      <c r="X538" s="22"/>
      <c r="Y538" s="22"/>
      <c r="Z538" s="22"/>
      <c r="AA538" s="127"/>
      <c r="AB538" s="127"/>
      <c r="AC538" s="22"/>
      <c r="AD538" s="22"/>
      <c r="AE538" s="22"/>
      <c r="AF538" s="22"/>
      <c r="AG538" s="22"/>
      <c r="AH538" s="127"/>
    </row>
    <row r="539" spans="6:34" x14ac:dyDescent="0.2">
      <c r="F539" s="1"/>
      <c r="N539" s="127"/>
      <c r="O539" s="22"/>
      <c r="P539" s="22"/>
      <c r="Q539" s="22"/>
      <c r="R539" s="22"/>
      <c r="S539" s="22"/>
      <c r="T539" s="127"/>
      <c r="U539" s="127"/>
      <c r="V539" s="22"/>
      <c r="W539" s="22"/>
      <c r="X539" s="22"/>
      <c r="Y539" s="22"/>
      <c r="Z539" s="22"/>
      <c r="AA539" s="127"/>
      <c r="AB539" s="127"/>
      <c r="AC539" s="22"/>
      <c r="AD539" s="22"/>
      <c r="AE539" s="22"/>
      <c r="AF539" s="22"/>
      <c r="AG539" s="22"/>
      <c r="AH539" s="127"/>
    </row>
    <row r="540" spans="6:34" x14ac:dyDescent="0.2">
      <c r="F540" s="1"/>
      <c r="N540" s="127"/>
      <c r="O540" s="22"/>
      <c r="P540" s="22"/>
      <c r="Q540" s="22"/>
      <c r="R540" s="22"/>
      <c r="S540" s="22"/>
      <c r="T540" s="127"/>
      <c r="U540" s="127"/>
      <c r="V540" s="22"/>
      <c r="W540" s="22"/>
      <c r="X540" s="22"/>
      <c r="Y540" s="22"/>
      <c r="Z540" s="22"/>
      <c r="AA540" s="127"/>
      <c r="AB540" s="127"/>
      <c r="AC540" s="22"/>
      <c r="AD540" s="22"/>
      <c r="AE540" s="22"/>
      <c r="AF540" s="22"/>
      <c r="AG540" s="22"/>
      <c r="AH540" s="127"/>
    </row>
    <row r="541" spans="6:34" x14ac:dyDescent="0.2">
      <c r="F541" s="1"/>
      <c r="N541" s="127"/>
      <c r="O541" s="22"/>
      <c r="P541" s="22"/>
      <c r="Q541" s="22"/>
      <c r="R541" s="22"/>
      <c r="S541" s="22"/>
      <c r="T541" s="127"/>
      <c r="U541" s="127"/>
      <c r="V541" s="22"/>
      <c r="W541" s="22"/>
      <c r="X541" s="22"/>
      <c r="Y541" s="22"/>
      <c r="Z541" s="22"/>
      <c r="AA541" s="127"/>
      <c r="AB541" s="127"/>
      <c r="AC541" s="22"/>
      <c r="AD541" s="22"/>
      <c r="AE541" s="22"/>
      <c r="AF541" s="22"/>
      <c r="AG541" s="22"/>
      <c r="AH541" s="127"/>
    </row>
    <row r="542" spans="6:34" x14ac:dyDescent="0.2">
      <c r="F542" s="1"/>
      <c r="N542" s="127"/>
      <c r="O542" s="22"/>
      <c r="P542" s="22"/>
      <c r="Q542" s="22"/>
      <c r="R542" s="22"/>
      <c r="S542" s="22"/>
      <c r="T542" s="127"/>
      <c r="U542" s="127"/>
      <c r="V542" s="22"/>
      <c r="W542" s="22"/>
      <c r="X542" s="22"/>
      <c r="Y542" s="22"/>
      <c r="Z542" s="22"/>
      <c r="AA542" s="127"/>
      <c r="AB542" s="127"/>
      <c r="AC542" s="22"/>
      <c r="AD542" s="22"/>
      <c r="AE542" s="22"/>
      <c r="AF542" s="22"/>
      <c r="AG542" s="22"/>
      <c r="AH542" s="127"/>
    </row>
    <row r="543" spans="6:34" x14ac:dyDescent="0.2">
      <c r="F543" s="1"/>
      <c r="N543" s="127"/>
      <c r="O543" s="22"/>
      <c r="P543" s="22"/>
      <c r="Q543" s="22"/>
      <c r="R543" s="22"/>
      <c r="S543" s="22"/>
      <c r="T543" s="127"/>
      <c r="U543" s="127"/>
      <c r="V543" s="22"/>
      <c r="W543" s="22"/>
      <c r="X543" s="22"/>
      <c r="Y543" s="22"/>
      <c r="Z543" s="22"/>
      <c r="AA543" s="127"/>
      <c r="AB543" s="127"/>
      <c r="AC543" s="22"/>
      <c r="AD543" s="22"/>
      <c r="AE543" s="22"/>
      <c r="AF543" s="22"/>
      <c r="AG543" s="22"/>
      <c r="AH543" s="127"/>
    </row>
    <row r="544" spans="6:34" x14ac:dyDescent="0.2">
      <c r="F544" s="1"/>
      <c r="N544" s="127"/>
      <c r="O544" s="22"/>
      <c r="P544" s="22"/>
      <c r="Q544" s="22"/>
      <c r="R544" s="22"/>
      <c r="S544" s="22"/>
      <c r="T544" s="127"/>
      <c r="U544" s="127"/>
      <c r="V544" s="22"/>
      <c r="W544" s="22"/>
      <c r="X544" s="22"/>
      <c r="Y544" s="22"/>
      <c r="Z544" s="22"/>
      <c r="AA544" s="127"/>
      <c r="AB544" s="127"/>
      <c r="AC544" s="22"/>
      <c r="AD544" s="22"/>
      <c r="AE544" s="22"/>
      <c r="AF544" s="22"/>
      <c r="AG544" s="22"/>
      <c r="AH544" s="127"/>
    </row>
    <row r="545" spans="6:34" x14ac:dyDescent="0.2">
      <c r="F545" s="1"/>
      <c r="N545" s="127"/>
      <c r="O545" s="22"/>
      <c r="P545" s="22"/>
      <c r="Q545" s="22"/>
      <c r="R545" s="22"/>
      <c r="S545" s="22"/>
      <c r="T545" s="127"/>
      <c r="U545" s="127"/>
      <c r="V545" s="22"/>
      <c r="W545" s="22"/>
      <c r="X545" s="22"/>
      <c r="Y545" s="22"/>
      <c r="Z545" s="22"/>
      <c r="AA545" s="127"/>
      <c r="AB545" s="127"/>
      <c r="AC545" s="22"/>
      <c r="AD545" s="22"/>
      <c r="AE545" s="22"/>
      <c r="AF545" s="22"/>
      <c r="AG545" s="22"/>
      <c r="AH545" s="127"/>
    </row>
    <row r="546" spans="6:34" x14ac:dyDescent="0.2">
      <c r="F546" s="1"/>
      <c r="N546" s="127"/>
      <c r="O546" s="22"/>
      <c r="P546" s="22"/>
      <c r="Q546" s="22"/>
      <c r="R546" s="22"/>
      <c r="S546" s="22"/>
      <c r="T546" s="127"/>
      <c r="U546" s="127"/>
      <c r="V546" s="22"/>
      <c r="W546" s="22"/>
      <c r="X546" s="22"/>
      <c r="Y546" s="22"/>
      <c r="Z546" s="22"/>
      <c r="AA546" s="127"/>
      <c r="AB546" s="127"/>
      <c r="AC546" s="22"/>
      <c r="AD546" s="22"/>
      <c r="AE546" s="22"/>
      <c r="AF546" s="22"/>
      <c r="AG546" s="22"/>
      <c r="AH546" s="127"/>
    </row>
    <row r="547" spans="6:34" x14ac:dyDescent="0.2">
      <c r="F547" s="1"/>
      <c r="N547" s="127"/>
      <c r="O547" s="22"/>
      <c r="P547" s="22"/>
      <c r="Q547" s="22"/>
      <c r="R547" s="22"/>
      <c r="S547" s="22"/>
      <c r="T547" s="127"/>
      <c r="U547" s="127"/>
      <c r="V547" s="22"/>
      <c r="W547" s="22"/>
      <c r="X547" s="22"/>
      <c r="Y547" s="22"/>
      <c r="Z547" s="22"/>
      <c r="AA547" s="127"/>
      <c r="AB547" s="127"/>
      <c r="AC547" s="22"/>
      <c r="AD547" s="22"/>
      <c r="AE547" s="22"/>
      <c r="AF547" s="22"/>
      <c r="AG547" s="22"/>
      <c r="AH547" s="127"/>
    </row>
    <row r="548" spans="6:34" x14ac:dyDescent="0.2">
      <c r="F548" s="1"/>
      <c r="N548" s="127"/>
      <c r="O548" s="22"/>
      <c r="P548" s="22"/>
      <c r="Q548" s="22"/>
      <c r="R548" s="22"/>
      <c r="S548" s="22"/>
      <c r="T548" s="127"/>
      <c r="U548" s="127"/>
      <c r="V548" s="22"/>
      <c r="W548" s="22"/>
      <c r="X548" s="22"/>
      <c r="Y548" s="22"/>
      <c r="Z548" s="22"/>
      <c r="AA548" s="127"/>
      <c r="AB548" s="127"/>
      <c r="AC548" s="22"/>
      <c r="AD548" s="22"/>
      <c r="AE548" s="22"/>
      <c r="AF548" s="22"/>
      <c r="AG548" s="22"/>
      <c r="AH548" s="127"/>
    </row>
    <row r="549" spans="6:34" x14ac:dyDescent="0.2">
      <c r="F549" s="1"/>
      <c r="N549" s="127"/>
      <c r="O549" s="22"/>
      <c r="P549" s="22"/>
      <c r="Q549" s="22"/>
      <c r="R549" s="22"/>
      <c r="S549" s="22"/>
      <c r="T549" s="127"/>
      <c r="U549" s="127"/>
      <c r="V549" s="22"/>
      <c r="W549" s="22"/>
      <c r="X549" s="22"/>
      <c r="Y549" s="22"/>
      <c r="Z549" s="22"/>
      <c r="AA549" s="127"/>
      <c r="AB549" s="127"/>
      <c r="AC549" s="22"/>
      <c r="AD549" s="22"/>
      <c r="AE549" s="22"/>
      <c r="AF549" s="22"/>
      <c r="AG549" s="22"/>
      <c r="AH549" s="127"/>
    </row>
    <row r="550" spans="6:34" x14ac:dyDescent="0.2">
      <c r="F550" s="1"/>
      <c r="N550" s="127"/>
      <c r="O550" s="22"/>
      <c r="P550" s="22"/>
      <c r="Q550" s="22"/>
      <c r="R550" s="22"/>
      <c r="S550" s="22"/>
      <c r="T550" s="127"/>
      <c r="U550" s="127"/>
      <c r="V550" s="22"/>
      <c r="W550" s="22"/>
      <c r="X550" s="22"/>
      <c r="Y550" s="22"/>
      <c r="Z550" s="22"/>
      <c r="AA550" s="127"/>
      <c r="AB550" s="127"/>
      <c r="AC550" s="22"/>
      <c r="AD550" s="22"/>
      <c r="AE550" s="22"/>
      <c r="AF550" s="22"/>
      <c r="AG550" s="22"/>
      <c r="AH550" s="127"/>
    </row>
    <row r="551" spans="6:34" x14ac:dyDescent="0.2">
      <c r="F551" s="1"/>
      <c r="N551" s="127"/>
      <c r="O551" s="22"/>
      <c r="P551" s="22"/>
      <c r="Q551" s="22"/>
      <c r="R551" s="22"/>
      <c r="S551" s="22"/>
      <c r="T551" s="127"/>
      <c r="U551" s="127"/>
      <c r="V551" s="22"/>
      <c r="W551" s="22"/>
      <c r="X551" s="22"/>
      <c r="Y551" s="22"/>
      <c r="Z551" s="22"/>
      <c r="AA551" s="127"/>
      <c r="AB551" s="127"/>
      <c r="AC551" s="22"/>
      <c r="AD551" s="22"/>
      <c r="AE551" s="22"/>
      <c r="AF551" s="22"/>
      <c r="AG551" s="22"/>
      <c r="AH551" s="127"/>
    </row>
    <row r="552" spans="6:34" x14ac:dyDescent="0.2">
      <c r="F552" s="1"/>
      <c r="N552" s="127"/>
      <c r="O552" s="22"/>
      <c r="P552" s="22"/>
      <c r="Q552" s="22"/>
      <c r="R552" s="22"/>
      <c r="S552" s="22"/>
      <c r="T552" s="127"/>
      <c r="U552" s="127"/>
      <c r="V552" s="22"/>
      <c r="W552" s="22"/>
      <c r="X552" s="22"/>
      <c r="Y552" s="22"/>
      <c r="Z552" s="22"/>
      <c r="AA552" s="127"/>
      <c r="AB552" s="127"/>
      <c r="AC552" s="22"/>
      <c r="AD552" s="22"/>
      <c r="AE552" s="22"/>
      <c r="AF552" s="22"/>
      <c r="AG552" s="22"/>
      <c r="AH552" s="127"/>
    </row>
    <row r="553" spans="6:34" x14ac:dyDescent="0.2">
      <c r="F553" s="1"/>
      <c r="N553" s="127"/>
      <c r="O553" s="22"/>
      <c r="P553" s="22"/>
      <c r="Q553" s="22"/>
      <c r="R553" s="22"/>
      <c r="S553" s="22"/>
      <c r="T553" s="127"/>
      <c r="U553" s="127"/>
      <c r="V553" s="22"/>
      <c r="W553" s="22"/>
      <c r="X553" s="22"/>
      <c r="Y553" s="22"/>
      <c r="Z553" s="22"/>
      <c r="AA553" s="127"/>
      <c r="AB553" s="127"/>
      <c r="AC553" s="22"/>
      <c r="AD553" s="22"/>
      <c r="AE553" s="22"/>
      <c r="AF553" s="22"/>
      <c r="AG553" s="22"/>
      <c r="AH553" s="127"/>
    </row>
    <row r="554" spans="6:34" x14ac:dyDescent="0.2">
      <c r="F554" s="1"/>
      <c r="N554" s="127"/>
      <c r="O554" s="22"/>
      <c r="P554" s="22"/>
      <c r="Q554" s="22"/>
      <c r="R554" s="22"/>
      <c r="S554" s="22"/>
      <c r="T554" s="127"/>
      <c r="U554" s="127"/>
      <c r="V554" s="22"/>
      <c r="W554" s="22"/>
      <c r="X554" s="22"/>
      <c r="Y554" s="22"/>
      <c r="Z554" s="22"/>
      <c r="AA554" s="127"/>
      <c r="AB554" s="127"/>
      <c r="AC554" s="22"/>
      <c r="AD554" s="22"/>
      <c r="AE554" s="22"/>
      <c r="AF554" s="22"/>
      <c r="AG554" s="22"/>
      <c r="AH554" s="127"/>
    </row>
    <row r="555" spans="6:34" x14ac:dyDescent="0.2">
      <c r="F555" s="1"/>
      <c r="N555" s="127"/>
      <c r="O555" s="22"/>
      <c r="P555" s="22"/>
      <c r="Q555" s="22"/>
      <c r="R555" s="22"/>
      <c r="S555" s="22"/>
      <c r="T555" s="127"/>
      <c r="U555" s="127"/>
      <c r="V555" s="22"/>
      <c r="W555" s="22"/>
      <c r="X555" s="22"/>
      <c r="Y555" s="22"/>
      <c r="Z555" s="22"/>
      <c r="AA555" s="127"/>
      <c r="AB555" s="127"/>
      <c r="AC555" s="22"/>
      <c r="AD555" s="22"/>
      <c r="AE555" s="22"/>
      <c r="AF555" s="22"/>
      <c r="AG555" s="22"/>
      <c r="AH555" s="127"/>
    </row>
    <row r="556" spans="6:34" x14ac:dyDescent="0.2">
      <c r="F556" s="1"/>
      <c r="N556" s="127"/>
      <c r="O556" s="22"/>
      <c r="P556" s="22"/>
      <c r="Q556" s="22"/>
      <c r="R556" s="22"/>
      <c r="S556" s="22"/>
      <c r="T556" s="127"/>
      <c r="U556" s="127"/>
      <c r="V556" s="22"/>
      <c r="W556" s="22"/>
      <c r="X556" s="22"/>
      <c r="Y556" s="22"/>
      <c r="Z556" s="22"/>
      <c r="AA556" s="127"/>
      <c r="AB556" s="127"/>
      <c r="AC556" s="22"/>
      <c r="AD556" s="22"/>
      <c r="AE556" s="22"/>
      <c r="AF556" s="22"/>
      <c r="AG556" s="22"/>
      <c r="AH556" s="127"/>
    </row>
    <row r="557" spans="6:34" x14ac:dyDescent="0.2">
      <c r="F557" s="1"/>
      <c r="N557" s="127"/>
      <c r="O557" s="22"/>
      <c r="P557" s="22"/>
      <c r="Q557" s="22"/>
      <c r="R557" s="22"/>
      <c r="S557" s="22"/>
      <c r="T557" s="127"/>
      <c r="U557" s="127"/>
      <c r="V557" s="22"/>
      <c r="W557" s="22"/>
      <c r="X557" s="22"/>
      <c r="Y557" s="22"/>
      <c r="Z557" s="22"/>
      <c r="AA557" s="127"/>
      <c r="AB557" s="127"/>
      <c r="AC557" s="22"/>
      <c r="AD557" s="22"/>
      <c r="AE557" s="22"/>
      <c r="AF557" s="22"/>
      <c r="AG557" s="22"/>
      <c r="AH557" s="127"/>
    </row>
    <row r="558" spans="6:34" x14ac:dyDescent="0.2">
      <c r="F558" s="1"/>
      <c r="N558" s="127"/>
      <c r="O558" s="22"/>
      <c r="P558" s="22"/>
      <c r="Q558" s="22"/>
      <c r="R558" s="22"/>
      <c r="S558" s="22"/>
      <c r="T558" s="127"/>
      <c r="U558" s="127"/>
      <c r="V558" s="22"/>
      <c r="W558" s="22"/>
      <c r="X558" s="22"/>
      <c r="Y558" s="22"/>
      <c r="Z558" s="22"/>
      <c r="AA558" s="127"/>
      <c r="AB558" s="127"/>
      <c r="AC558" s="22"/>
      <c r="AD558" s="22"/>
      <c r="AE558" s="22"/>
      <c r="AF558" s="22"/>
      <c r="AG558" s="22"/>
      <c r="AH558" s="127"/>
    </row>
    <row r="559" spans="6:34" x14ac:dyDescent="0.2">
      <c r="F559" s="1"/>
      <c r="N559" s="127"/>
      <c r="O559" s="22"/>
      <c r="P559" s="22"/>
      <c r="Q559" s="22"/>
      <c r="R559" s="22"/>
      <c r="S559" s="22"/>
      <c r="T559" s="127"/>
      <c r="U559" s="127"/>
      <c r="V559" s="22"/>
      <c r="W559" s="22"/>
      <c r="X559" s="22"/>
      <c r="Y559" s="22"/>
      <c r="Z559" s="22"/>
      <c r="AA559" s="127"/>
      <c r="AB559" s="127"/>
      <c r="AC559" s="22"/>
      <c r="AD559" s="22"/>
      <c r="AE559" s="22"/>
      <c r="AF559" s="22"/>
      <c r="AG559" s="22"/>
      <c r="AH559" s="127"/>
    </row>
    <row r="560" spans="6:34" x14ac:dyDescent="0.2">
      <c r="F560" s="1"/>
      <c r="N560" s="127"/>
      <c r="O560" s="22"/>
      <c r="P560" s="22"/>
      <c r="Q560" s="22"/>
      <c r="R560" s="22"/>
      <c r="S560" s="22"/>
      <c r="T560" s="127"/>
      <c r="U560" s="127"/>
      <c r="V560" s="22"/>
      <c r="W560" s="22"/>
      <c r="X560" s="22"/>
      <c r="Y560" s="22"/>
      <c r="Z560" s="22"/>
      <c r="AA560" s="127"/>
      <c r="AB560" s="127"/>
      <c r="AC560" s="22"/>
      <c r="AD560" s="22"/>
      <c r="AE560" s="22"/>
      <c r="AF560" s="22"/>
      <c r="AG560" s="22"/>
      <c r="AH560" s="127"/>
    </row>
    <row r="561" spans="6:34" x14ac:dyDescent="0.2">
      <c r="F561" s="1"/>
      <c r="N561" s="127"/>
      <c r="O561" s="22"/>
      <c r="P561" s="22"/>
      <c r="Q561" s="22"/>
      <c r="R561" s="22"/>
      <c r="S561" s="22"/>
      <c r="T561" s="127"/>
      <c r="U561" s="127"/>
      <c r="V561" s="22"/>
      <c r="W561" s="22"/>
      <c r="X561" s="22"/>
      <c r="Y561" s="22"/>
      <c r="Z561" s="22"/>
      <c r="AA561" s="127"/>
      <c r="AB561" s="127"/>
      <c r="AC561" s="22"/>
      <c r="AD561" s="22"/>
      <c r="AE561" s="22"/>
      <c r="AF561" s="22"/>
      <c r="AG561" s="22"/>
      <c r="AH561" s="127"/>
    </row>
    <row r="562" spans="6:34" x14ac:dyDescent="0.2">
      <c r="F562" s="1"/>
      <c r="N562" s="127"/>
      <c r="O562" s="22"/>
      <c r="P562" s="22"/>
      <c r="Q562" s="22"/>
      <c r="R562" s="22"/>
      <c r="S562" s="22"/>
      <c r="T562" s="127"/>
      <c r="U562" s="127"/>
      <c r="V562" s="22"/>
      <c r="W562" s="22"/>
      <c r="X562" s="22"/>
      <c r="Y562" s="22"/>
      <c r="Z562" s="22"/>
      <c r="AA562" s="127"/>
      <c r="AB562" s="127"/>
      <c r="AC562" s="22"/>
      <c r="AD562" s="22"/>
      <c r="AE562" s="22"/>
      <c r="AF562" s="22"/>
      <c r="AG562" s="22"/>
      <c r="AH562" s="127"/>
    </row>
    <row r="563" spans="6:34" x14ac:dyDescent="0.2">
      <c r="F563" s="1"/>
      <c r="N563" s="127"/>
      <c r="O563" s="22"/>
      <c r="P563" s="22"/>
      <c r="Q563" s="22"/>
      <c r="R563" s="22"/>
      <c r="S563" s="22"/>
      <c r="T563" s="127"/>
      <c r="U563" s="127"/>
      <c r="V563" s="22"/>
      <c r="W563" s="22"/>
      <c r="X563" s="22"/>
      <c r="Y563" s="22"/>
      <c r="Z563" s="22"/>
      <c r="AA563" s="127"/>
      <c r="AB563" s="127"/>
      <c r="AC563" s="22"/>
      <c r="AD563" s="22"/>
      <c r="AE563" s="22"/>
      <c r="AF563" s="22"/>
      <c r="AG563" s="22"/>
      <c r="AH563" s="127"/>
    </row>
    <row r="564" spans="6:34" x14ac:dyDescent="0.2">
      <c r="F564" s="1"/>
      <c r="N564" s="127"/>
      <c r="O564" s="22"/>
      <c r="P564" s="22"/>
      <c r="Q564" s="22"/>
      <c r="R564" s="22"/>
      <c r="S564" s="22"/>
      <c r="T564" s="127"/>
      <c r="U564" s="127"/>
      <c r="V564" s="22"/>
      <c r="W564" s="22"/>
      <c r="X564" s="22"/>
      <c r="Y564" s="22"/>
      <c r="Z564" s="22"/>
      <c r="AA564" s="127"/>
      <c r="AB564" s="127"/>
      <c r="AC564" s="22"/>
      <c r="AD564" s="22"/>
      <c r="AE564" s="22"/>
      <c r="AF564" s="22"/>
      <c r="AG564" s="22"/>
      <c r="AH564" s="127"/>
    </row>
    <row r="565" spans="6:34" x14ac:dyDescent="0.2">
      <c r="F565" s="1"/>
      <c r="N565" s="127"/>
      <c r="O565" s="22"/>
      <c r="P565" s="22"/>
      <c r="Q565" s="22"/>
      <c r="R565" s="22"/>
      <c r="S565" s="22"/>
      <c r="T565" s="127"/>
      <c r="U565" s="127"/>
      <c r="V565" s="22"/>
      <c r="W565" s="22"/>
      <c r="X565" s="22"/>
      <c r="Y565" s="22"/>
      <c r="Z565" s="22"/>
      <c r="AA565" s="127"/>
      <c r="AB565" s="127"/>
      <c r="AC565" s="22"/>
      <c r="AD565" s="22"/>
      <c r="AE565" s="22"/>
      <c r="AF565" s="22"/>
      <c r="AG565" s="22"/>
      <c r="AH565" s="127"/>
    </row>
    <row r="566" spans="6:34" x14ac:dyDescent="0.2">
      <c r="F566" s="1"/>
      <c r="N566" s="127"/>
      <c r="O566" s="22"/>
      <c r="P566" s="22"/>
      <c r="Q566" s="22"/>
      <c r="R566" s="22"/>
      <c r="S566" s="22"/>
      <c r="T566" s="127"/>
      <c r="U566" s="127"/>
      <c r="V566" s="22"/>
      <c r="W566" s="22"/>
      <c r="X566" s="22"/>
      <c r="Y566" s="22"/>
      <c r="Z566" s="22"/>
      <c r="AA566" s="127"/>
      <c r="AB566" s="127"/>
      <c r="AC566" s="22"/>
      <c r="AD566" s="22"/>
      <c r="AE566" s="22"/>
      <c r="AF566" s="22"/>
      <c r="AG566" s="22"/>
      <c r="AH566" s="127"/>
    </row>
    <row r="567" spans="6:34" x14ac:dyDescent="0.2">
      <c r="F567" s="1"/>
      <c r="N567" s="127"/>
      <c r="O567" s="22"/>
      <c r="P567" s="22"/>
      <c r="Q567" s="22"/>
      <c r="R567" s="22"/>
      <c r="S567" s="22"/>
      <c r="T567" s="127"/>
      <c r="U567" s="127"/>
      <c r="V567" s="22"/>
      <c r="W567" s="22"/>
      <c r="X567" s="22"/>
      <c r="Y567" s="22"/>
      <c r="Z567" s="22"/>
      <c r="AA567" s="127"/>
      <c r="AB567" s="127"/>
      <c r="AC567" s="22"/>
      <c r="AD567" s="22"/>
      <c r="AE567" s="22"/>
      <c r="AF567" s="22"/>
      <c r="AG567" s="22"/>
      <c r="AH567" s="127"/>
    </row>
    <row r="568" spans="6:34" x14ac:dyDescent="0.2">
      <c r="F568" s="1"/>
      <c r="N568" s="127"/>
      <c r="O568" s="22"/>
      <c r="P568" s="22"/>
      <c r="Q568" s="22"/>
      <c r="R568" s="22"/>
      <c r="S568" s="22"/>
      <c r="T568" s="127"/>
      <c r="U568" s="127"/>
      <c r="V568" s="22"/>
      <c r="W568" s="22"/>
      <c r="X568" s="22"/>
      <c r="Y568" s="22"/>
      <c r="Z568" s="22"/>
      <c r="AA568" s="127"/>
      <c r="AB568" s="127"/>
      <c r="AC568" s="22"/>
      <c r="AD568" s="22"/>
      <c r="AE568" s="22"/>
      <c r="AF568" s="22"/>
      <c r="AG568" s="22"/>
      <c r="AH568" s="127"/>
    </row>
    <row r="569" spans="6:34" x14ac:dyDescent="0.2">
      <c r="F569" s="1"/>
      <c r="N569" s="127"/>
      <c r="O569" s="22"/>
      <c r="P569" s="22"/>
      <c r="Q569" s="22"/>
      <c r="R569" s="22"/>
      <c r="S569" s="22"/>
      <c r="T569" s="127"/>
      <c r="U569" s="127"/>
      <c r="V569" s="22"/>
      <c r="W569" s="22"/>
      <c r="X569" s="22"/>
      <c r="Y569" s="22"/>
      <c r="Z569" s="22"/>
      <c r="AA569" s="127"/>
      <c r="AB569" s="127"/>
      <c r="AC569" s="22"/>
      <c r="AD569" s="22"/>
      <c r="AE569" s="22"/>
      <c r="AF569" s="22"/>
      <c r="AG569" s="22"/>
      <c r="AH569" s="127"/>
    </row>
    <row r="570" spans="6:34" x14ac:dyDescent="0.2">
      <c r="F570" s="1"/>
      <c r="N570" s="127"/>
      <c r="O570" s="22"/>
      <c r="P570" s="22"/>
      <c r="Q570" s="22"/>
      <c r="R570" s="22"/>
      <c r="S570" s="22"/>
      <c r="T570" s="127"/>
      <c r="U570" s="127"/>
      <c r="V570" s="22"/>
      <c r="W570" s="22"/>
      <c r="X570" s="22"/>
      <c r="Y570" s="22"/>
      <c r="Z570" s="22"/>
      <c r="AA570" s="127"/>
      <c r="AB570" s="127"/>
      <c r="AC570" s="22"/>
      <c r="AD570" s="22"/>
      <c r="AE570" s="22"/>
      <c r="AF570" s="22"/>
      <c r="AG570" s="22"/>
      <c r="AH570" s="127"/>
    </row>
    <row r="571" spans="6:34" x14ac:dyDescent="0.2">
      <c r="F571" s="1"/>
      <c r="N571" s="127"/>
      <c r="O571" s="22"/>
      <c r="P571" s="22"/>
      <c r="Q571" s="22"/>
      <c r="R571" s="22"/>
      <c r="S571" s="22"/>
      <c r="T571" s="127"/>
      <c r="U571" s="127"/>
      <c r="V571" s="22"/>
      <c r="W571" s="22"/>
      <c r="X571" s="22"/>
      <c r="Y571" s="22"/>
      <c r="Z571" s="22"/>
      <c r="AA571" s="127"/>
      <c r="AB571" s="127"/>
      <c r="AC571" s="22"/>
      <c r="AD571" s="22"/>
      <c r="AE571" s="22"/>
      <c r="AF571" s="22"/>
      <c r="AG571" s="22"/>
      <c r="AH571" s="127"/>
    </row>
    <row r="572" spans="6:34" x14ac:dyDescent="0.2">
      <c r="F572" s="1"/>
      <c r="N572" s="127"/>
      <c r="O572" s="22"/>
      <c r="P572" s="22"/>
      <c r="Q572" s="22"/>
      <c r="R572" s="22"/>
      <c r="S572" s="22"/>
      <c r="T572" s="127"/>
      <c r="U572" s="127"/>
      <c r="V572" s="22"/>
      <c r="W572" s="22"/>
      <c r="X572" s="22"/>
      <c r="Y572" s="22"/>
      <c r="Z572" s="22"/>
      <c r="AA572" s="127"/>
      <c r="AB572" s="127"/>
      <c r="AC572" s="22"/>
      <c r="AD572" s="22"/>
      <c r="AE572" s="22"/>
      <c r="AF572" s="22"/>
      <c r="AG572" s="22"/>
      <c r="AH572" s="127"/>
    </row>
    <row r="573" spans="6:34" x14ac:dyDescent="0.2">
      <c r="F573" s="1"/>
      <c r="N573" s="127"/>
      <c r="O573" s="22"/>
      <c r="P573" s="22"/>
      <c r="Q573" s="22"/>
      <c r="R573" s="22"/>
      <c r="S573" s="22"/>
      <c r="T573" s="127"/>
      <c r="U573" s="127"/>
      <c r="V573" s="22"/>
      <c r="W573" s="22"/>
      <c r="X573" s="22"/>
      <c r="Y573" s="22"/>
      <c r="Z573" s="22"/>
      <c r="AA573" s="127"/>
      <c r="AB573" s="127"/>
      <c r="AC573" s="22"/>
      <c r="AD573" s="22"/>
      <c r="AE573" s="22"/>
      <c r="AF573" s="22"/>
      <c r="AG573" s="22"/>
      <c r="AH573" s="127"/>
    </row>
    <row r="574" spans="6:34" x14ac:dyDescent="0.2">
      <c r="F574" s="1"/>
      <c r="N574" s="127"/>
      <c r="O574" s="22"/>
      <c r="P574" s="22"/>
      <c r="Q574" s="22"/>
      <c r="R574" s="22"/>
      <c r="S574" s="22"/>
      <c r="T574" s="127"/>
      <c r="U574" s="127"/>
      <c r="V574" s="22"/>
      <c r="W574" s="22"/>
      <c r="X574" s="22"/>
      <c r="Y574" s="22"/>
      <c r="Z574" s="22"/>
      <c r="AA574" s="127"/>
      <c r="AB574" s="127"/>
      <c r="AC574" s="22"/>
      <c r="AD574" s="22"/>
      <c r="AE574" s="22"/>
      <c r="AF574" s="22"/>
      <c r="AG574" s="22"/>
      <c r="AH574" s="127"/>
    </row>
    <row r="575" spans="6:34" x14ac:dyDescent="0.2">
      <c r="F575" s="1"/>
      <c r="N575" s="127"/>
      <c r="O575" s="22"/>
      <c r="P575" s="22"/>
      <c r="Q575" s="22"/>
      <c r="R575" s="22"/>
      <c r="S575" s="22"/>
      <c r="T575" s="127"/>
      <c r="U575" s="127"/>
      <c r="V575" s="22"/>
      <c r="W575" s="22"/>
      <c r="X575" s="22"/>
      <c r="Y575" s="22"/>
      <c r="Z575" s="22"/>
      <c r="AA575" s="127"/>
      <c r="AB575" s="127"/>
      <c r="AC575" s="22"/>
      <c r="AD575" s="22"/>
      <c r="AE575" s="22"/>
      <c r="AF575" s="22"/>
      <c r="AG575" s="22"/>
      <c r="AH575" s="127"/>
    </row>
    <row r="576" spans="6:34" x14ac:dyDescent="0.2">
      <c r="F576" s="1"/>
      <c r="N576" s="127"/>
      <c r="O576" s="22"/>
      <c r="P576" s="22"/>
      <c r="Q576" s="22"/>
      <c r="R576" s="22"/>
      <c r="S576" s="22"/>
      <c r="T576" s="127"/>
      <c r="U576" s="127"/>
      <c r="V576" s="22"/>
      <c r="W576" s="22"/>
      <c r="X576" s="22"/>
      <c r="Y576" s="22"/>
      <c r="Z576" s="22"/>
      <c r="AA576" s="127"/>
      <c r="AB576" s="127"/>
      <c r="AC576" s="22"/>
      <c r="AD576" s="22"/>
      <c r="AE576" s="22"/>
      <c r="AF576" s="22"/>
      <c r="AG576" s="22"/>
      <c r="AH576" s="127"/>
    </row>
    <row r="577" spans="6:34" x14ac:dyDescent="0.2">
      <c r="F577" s="1"/>
      <c r="N577" s="127"/>
      <c r="O577" s="22"/>
      <c r="P577" s="22"/>
      <c r="Q577" s="22"/>
      <c r="R577" s="22"/>
      <c r="S577" s="22"/>
      <c r="T577" s="127"/>
      <c r="U577" s="127"/>
      <c r="V577" s="22"/>
      <c r="W577" s="22"/>
      <c r="X577" s="22"/>
      <c r="Y577" s="22"/>
      <c r="Z577" s="22"/>
      <c r="AA577" s="127"/>
      <c r="AB577" s="127"/>
      <c r="AC577" s="22"/>
      <c r="AD577" s="22"/>
      <c r="AE577" s="22"/>
      <c r="AF577" s="22"/>
      <c r="AG577" s="22"/>
      <c r="AH577" s="127"/>
    </row>
    <row r="578" spans="6:34" x14ac:dyDescent="0.2">
      <c r="F578" s="1"/>
      <c r="N578" s="127"/>
      <c r="O578" s="22"/>
      <c r="P578" s="22"/>
      <c r="Q578" s="22"/>
      <c r="R578" s="22"/>
      <c r="S578" s="22"/>
      <c r="T578" s="127"/>
      <c r="U578" s="127"/>
      <c r="V578" s="22"/>
      <c r="W578" s="22"/>
      <c r="X578" s="22"/>
      <c r="Y578" s="22"/>
      <c r="Z578" s="22"/>
      <c r="AA578" s="127"/>
      <c r="AB578" s="127"/>
      <c r="AC578" s="22"/>
      <c r="AD578" s="22"/>
      <c r="AE578" s="22"/>
      <c r="AF578" s="22"/>
      <c r="AG578" s="22"/>
      <c r="AH578" s="127"/>
    </row>
    <row r="579" spans="6:34" x14ac:dyDescent="0.2">
      <c r="F579" s="1"/>
      <c r="N579" s="127"/>
      <c r="O579" s="22"/>
      <c r="P579" s="22"/>
      <c r="Q579" s="22"/>
      <c r="R579" s="22"/>
      <c r="S579" s="22"/>
      <c r="T579" s="127"/>
      <c r="U579" s="127"/>
      <c r="V579" s="22"/>
      <c r="W579" s="22"/>
      <c r="X579" s="22"/>
      <c r="Y579" s="22"/>
      <c r="Z579" s="22"/>
      <c r="AA579" s="127"/>
      <c r="AB579" s="127"/>
      <c r="AC579" s="22"/>
      <c r="AD579" s="22"/>
      <c r="AE579" s="22"/>
      <c r="AF579" s="22"/>
      <c r="AG579" s="22"/>
      <c r="AH579" s="127"/>
    </row>
    <row r="580" spans="6:34" x14ac:dyDescent="0.2">
      <c r="F580" s="1"/>
      <c r="N580" s="127"/>
      <c r="O580" s="22"/>
      <c r="P580" s="22"/>
      <c r="Q580" s="22"/>
      <c r="R580" s="22"/>
      <c r="S580" s="22"/>
      <c r="T580" s="127"/>
      <c r="U580" s="127"/>
      <c r="V580" s="22"/>
      <c r="W580" s="22"/>
      <c r="X580" s="22"/>
      <c r="Y580" s="22"/>
      <c r="Z580" s="22"/>
      <c r="AA580" s="127"/>
      <c r="AB580" s="127"/>
      <c r="AC580" s="22"/>
      <c r="AD580" s="22"/>
      <c r="AE580" s="22"/>
      <c r="AF580" s="22"/>
      <c r="AG580" s="22"/>
      <c r="AH580" s="127"/>
    </row>
    <row r="581" spans="6:34" x14ac:dyDescent="0.2">
      <c r="F581" s="1"/>
      <c r="N581" s="127"/>
      <c r="O581" s="22"/>
      <c r="P581" s="22"/>
      <c r="Q581" s="22"/>
      <c r="R581" s="22"/>
      <c r="S581" s="22"/>
      <c r="T581" s="127"/>
      <c r="U581" s="127"/>
      <c r="V581" s="22"/>
      <c r="W581" s="22"/>
      <c r="X581" s="22"/>
      <c r="Y581" s="22"/>
      <c r="Z581" s="22"/>
      <c r="AA581" s="127"/>
      <c r="AB581" s="127"/>
      <c r="AC581" s="22"/>
      <c r="AD581" s="22"/>
      <c r="AE581" s="22"/>
      <c r="AF581" s="22"/>
      <c r="AG581" s="22"/>
      <c r="AH581" s="127"/>
    </row>
    <row r="582" spans="6:34" x14ac:dyDescent="0.2">
      <c r="F582" s="1"/>
      <c r="N582" s="127"/>
      <c r="O582" s="22"/>
      <c r="P582" s="22"/>
      <c r="Q582" s="22"/>
      <c r="R582" s="22"/>
      <c r="S582" s="22"/>
      <c r="T582" s="127"/>
      <c r="U582" s="127"/>
      <c r="V582" s="22"/>
      <c r="W582" s="22"/>
      <c r="X582" s="22"/>
      <c r="Y582" s="22"/>
      <c r="Z582" s="22"/>
      <c r="AA582" s="127"/>
      <c r="AB582" s="127"/>
      <c r="AC582" s="22"/>
      <c r="AD582" s="22"/>
      <c r="AE582" s="22"/>
      <c r="AF582" s="22"/>
      <c r="AG582" s="22"/>
      <c r="AH582" s="127"/>
    </row>
    <row r="583" spans="6:34" x14ac:dyDescent="0.2">
      <c r="F583" s="1"/>
      <c r="N583" s="127"/>
      <c r="O583" s="22"/>
      <c r="P583" s="22"/>
      <c r="Q583" s="22"/>
      <c r="R583" s="22"/>
      <c r="S583" s="22"/>
      <c r="T583" s="127"/>
      <c r="U583" s="127"/>
      <c r="V583" s="22"/>
      <c r="W583" s="22"/>
      <c r="X583" s="22"/>
      <c r="Y583" s="22"/>
      <c r="Z583" s="22"/>
      <c r="AA583" s="127"/>
      <c r="AB583" s="127"/>
      <c r="AC583" s="22"/>
      <c r="AD583" s="22"/>
      <c r="AE583" s="22"/>
      <c r="AF583" s="22"/>
      <c r="AG583" s="22"/>
      <c r="AH583" s="127"/>
    </row>
    <row r="584" spans="6:34" x14ac:dyDescent="0.2">
      <c r="F584" s="1"/>
      <c r="N584" s="127"/>
      <c r="O584" s="22"/>
      <c r="P584" s="22"/>
      <c r="Q584" s="22"/>
      <c r="R584" s="22"/>
      <c r="S584" s="22"/>
      <c r="T584" s="127"/>
      <c r="U584" s="127"/>
      <c r="V584" s="22"/>
      <c r="W584" s="22"/>
      <c r="X584" s="22"/>
      <c r="Y584" s="22"/>
      <c r="Z584" s="22"/>
      <c r="AA584" s="127"/>
      <c r="AB584" s="127"/>
      <c r="AC584" s="22"/>
      <c r="AD584" s="22"/>
      <c r="AE584" s="22"/>
      <c r="AF584" s="22"/>
      <c r="AG584" s="22"/>
      <c r="AH584" s="127"/>
    </row>
    <row r="585" spans="6:34" x14ac:dyDescent="0.2">
      <c r="F585" s="1"/>
      <c r="N585" s="127"/>
      <c r="O585" s="22"/>
      <c r="P585" s="22"/>
      <c r="Q585" s="22"/>
      <c r="R585" s="22"/>
      <c r="S585" s="22"/>
      <c r="T585" s="127"/>
      <c r="U585" s="127"/>
      <c r="V585" s="22"/>
      <c r="W585" s="22"/>
      <c r="X585" s="22"/>
      <c r="Y585" s="22"/>
      <c r="Z585" s="22"/>
      <c r="AA585" s="127"/>
      <c r="AB585" s="127"/>
      <c r="AC585" s="22"/>
      <c r="AD585" s="22"/>
      <c r="AE585" s="22"/>
      <c r="AF585" s="22"/>
      <c r="AG585" s="22"/>
      <c r="AH585" s="127"/>
    </row>
    <row r="586" spans="6:34" x14ac:dyDescent="0.2">
      <c r="F586" s="1"/>
      <c r="N586" s="127"/>
      <c r="O586" s="22"/>
      <c r="P586" s="22"/>
      <c r="Q586" s="22"/>
      <c r="R586" s="22"/>
      <c r="S586" s="22"/>
      <c r="T586" s="127"/>
      <c r="U586" s="127"/>
      <c r="V586" s="22"/>
      <c r="W586" s="22"/>
      <c r="X586" s="22"/>
      <c r="Y586" s="22"/>
      <c r="Z586" s="22"/>
      <c r="AA586" s="127"/>
      <c r="AB586" s="127"/>
      <c r="AC586" s="22"/>
      <c r="AD586" s="22"/>
      <c r="AE586" s="22"/>
      <c r="AF586" s="22"/>
      <c r="AG586" s="22"/>
      <c r="AH586" s="127"/>
    </row>
    <row r="587" spans="6:34" x14ac:dyDescent="0.2">
      <c r="F587" s="1"/>
      <c r="N587" s="127"/>
      <c r="O587" s="22"/>
      <c r="P587" s="22"/>
      <c r="Q587" s="22"/>
      <c r="R587" s="22"/>
      <c r="S587" s="22"/>
      <c r="T587" s="127"/>
      <c r="U587" s="127"/>
      <c r="V587" s="22"/>
      <c r="W587" s="22"/>
      <c r="X587" s="22"/>
      <c r="Y587" s="22"/>
      <c r="Z587" s="22"/>
      <c r="AA587" s="127"/>
      <c r="AB587" s="127"/>
      <c r="AC587" s="22"/>
      <c r="AD587" s="22"/>
      <c r="AE587" s="22"/>
      <c r="AF587" s="22"/>
      <c r="AG587" s="22"/>
      <c r="AH587" s="127"/>
    </row>
    <row r="588" spans="6:34" x14ac:dyDescent="0.2">
      <c r="F588" s="1"/>
      <c r="N588" s="127"/>
      <c r="O588" s="22"/>
      <c r="P588" s="22"/>
      <c r="Q588" s="22"/>
      <c r="R588" s="22"/>
      <c r="S588" s="22"/>
      <c r="T588" s="127"/>
      <c r="U588" s="127"/>
      <c r="V588" s="22"/>
      <c r="W588" s="22"/>
      <c r="X588" s="22"/>
      <c r="Y588" s="22"/>
      <c r="Z588" s="22"/>
      <c r="AA588" s="127"/>
      <c r="AB588" s="127"/>
      <c r="AC588" s="22"/>
      <c r="AD588" s="22"/>
      <c r="AE588" s="22"/>
      <c r="AF588" s="22"/>
      <c r="AG588" s="22"/>
      <c r="AH588" s="127"/>
    </row>
    <row r="589" spans="6:34" x14ac:dyDescent="0.2">
      <c r="F589" s="1"/>
      <c r="N589" s="127"/>
      <c r="O589" s="22"/>
      <c r="P589" s="22"/>
      <c r="Q589" s="22"/>
      <c r="R589" s="22"/>
      <c r="S589" s="22"/>
      <c r="T589" s="127"/>
      <c r="U589" s="127"/>
      <c r="V589" s="22"/>
      <c r="W589" s="22"/>
      <c r="X589" s="22"/>
      <c r="Y589" s="22"/>
      <c r="Z589" s="22"/>
      <c r="AA589" s="127"/>
      <c r="AB589" s="127"/>
      <c r="AC589" s="22"/>
      <c r="AD589" s="22"/>
      <c r="AE589" s="22"/>
      <c r="AF589" s="22"/>
      <c r="AG589" s="22"/>
      <c r="AH589" s="127"/>
    </row>
    <row r="590" spans="6:34" x14ac:dyDescent="0.2">
      <c r="F590" s="1"/>
      <c r="N590" s="127"/>
      <c r="O590" s="22"/>
      <c r="P590" s="22"/>
      <c r="Q590" s="22"/>
      <c r="R590" s="22"/>
      <c r="S590" s="22"/>
      <c r="T590" s="127"/>
      <c r="U590" s="127"/>
      <c r="V590" s="22"/>
      <c r="W590" s="22"/>
      <c r="X590" s="22"/>
      <c r="Y590" s="22"/>
      <c r="Z590" s="22"/>
      <c r="AA590" s="127"/>
      <c r="AB590" s="127"/>
      <c r="AC590" s="22"/>
      <c r="AD590" s="22"/>
      <c r="AE590" s="22"/>
      <c r="AF590" s="22"/>
      <c r="AG590" s="22"/>
      <c r="AH590" s="127"/>
    </row>
    <row r="591" spans="6:34" x14ac:dyDescent="0.2">
      <c r="F591" s="1"/>
      <c r="N591" s="127"/>
      <c r="O591" s="22"/>
      <c r="P591" s="22"/>
      <c r="Q591" s="22"/>
      <c r="R591" s="22"/>
      <c r="S591" s="22"/>
      <c r="T591" s="127"/>
      <c r="U591" s="127"/>
      <c r="V591" s="22"/>
      <c r="W591" s="22"/>
      <c r="X591" s="22"/>
      <c r="Y591" s="22"/>
      <c r="Z591" s="22"/>
      <c r="AA591" s="127"/>
      <c r="AB591" s="127"/>
      <c r="AC591" s="22"/>
      <c r="AD591" s="22"/>
      <c r="AE591" s="22"/>
      <c r="AF591" s="22"/>
      <c r="AG591" s="22"/>
      <c r="AH591" s="127"/>
    </row>
    <row r="592" spans="6:34" x14ac:dyDescent="0.2">
      <c r="F592" s="1"/>
      <c r="N592" s="127"/>
      <c r="O592" s="22"/>
      <c r="P592" s="22"/>
      <c r="Q592" s="22"/>
      <c r="R592" s="22"/>
      <c r="S592" s="22"/>
      <c r="T592" s="127"/>
      <c r="U592" s="127"/>
      <c r="V592" s="22"/>
      <c r="W592" s="22"/>
      <c r="X592" s="22"/>
      <c r="Y592" s="22"/>
      <c r="Z592" s="22"/>
      <c r="AA592" s="127"/>
      <c r="AB592" s="127"/>
      <c r="AC592" s="22"/>
      <c r="AD592" s="22"/>
      <c r="AE592" s="22"/>
      <c r="AF592" s="22"/>
      <c r="AG592" s="22"/>
      <c r="AH592" s="127"/>
    </row>
    <row r="593" spans="6:34" x14ac:dyDescent="0.2">
      <c r="F593" s="1"/>
      <c r="N593" s="127"/>
      <c r="O593" s="22"/>
      <c r="P593" s="22"/>
      <c r="Q593" s="22"/>
      <c r="R593" s="22"/>
      <c r="S593" s="22"/>
      <c r="T593" s="127"/>
      <c r="U593" s="127"/>
      <c r="V593" s="22"/>
      <c r="W593" s="22"/>
      <c r="X593" s="22"/>
      <c r="Y593" s="22"/>
      <c r="Z593" s="22"/>
      <c r="AA593" s="127"/>
      <c r="AB593" s="127"/>
      <c r="AC593" s="22"/>
      <c r="AD593" s="22"/>
      <c r="AE593" s="22"/>
      <c r="AF593" s="22"/>
      <c r="AG593" s="22"/>
      <c r="AH593" s="127"/>
    </row>
    <row r="594" spans="6:34" x14ac:dyDescent="0.2">
      <c r="F594" s="1"/>
      <c r="N594" s="127"/>
      <c r="O594" s="22"/>
      <c r="P594" s="22"/>
      <c r="Q594" s="22"/>
      <c r="R594" s="22"/>
      <c r="S594" s="22"/>
      <c r="T594" s="127"/>
      <c r="U594" s="127"/>
      <c r="V594" s="22"/>
      <c r="W594" s="22"/>
      <c r="X594" s="22"/>
      <c r="Y594" s="22"/>
      <c r="Z594" s="22"/>
      <c r="AA594" s="127"/>
      <c r="AB594" s="127"/>
      <c r="AC594" s="22"/>
      <c r="AD594" s="22"/>
      <c r="AE594" s="22"/>
      <c r="AF594" s="22"/>
      <c r="AG594" s="22"/>
      <c r="AH594" s="127"/>
    </row>
    <row r="595" spans="6:34" x14ac:dyDescent="0.2">
      <c r="F595" s="1"/>
      <c r="N595" s="127"/>
      <c r="O595" s="22"/>
      <c r="P595" s="22"/>
      <c r="Q595" s="22"/>
      <c r="R595" s="22"/>
      <c r="S595" s="22"/>
      <c r="T595" s="127"/>
      <c r="U595" s="127"/>
      <c r="V595" s="22"/>
      <c r="W595" s="22"/>
      <c r="X595" s="22"/>
      <c r="Y595" s="22"/>
      <c r="Z595" s="22"/>
      <c r="AA595" s="127"/>
      <c r="AB595" s="127"/>
      <c r="AC595" s="22"/>
      <c r="AD595" s="22"/>
      <c r="AE595" s="22"/>
      <c r="AF595" s="22"/>
      <c r="AG595" s="22"/>
      <c r="AH595" s="127"/>
    </row>
    <row r="596" spans="6:34" x14ac:dyDescent="0.2">
      <c r="F596" s="1"/>
      <c r="N596" s="127"/>
      <c r="O596" s="22"/>
      <c r="P596" s="22"/>
      <c r="Q596" s="22"/>
      <c r="R596" s="22"/>
      <c r="S596" s="22"/>
      <c r="T596" s="127"/>
      <c r="U596" s="127"/>
      <c r="V596" s="22"/>
      <c r="W596" s="22"/>
      <c r="X596" s="22"/>
      <c r="Y596" s="22"/>
      <c r="Z596" s="22"/>
      <c r="AA596" s="127"/>
      <c r="AB596" s="127"/>
      <c r="AC596" s="22"/>
      <c r="AD596" s="22"/>
      <c r="AE596" s="22"/>
      <c r="AF596" s="22"/>
      <c r="AG596" s="22"/>
      <c r="AH596" s="127"/>
    </row>
    <row r="597" spans="6:34" x14ac:dyDescent="0.2">
      <c r="F597" s="1"/>
      <c r="N597" s="127"/>
      <c r="O597" s="22"/>
      <c r="P597" s="22"/>
      <c r="Q597" s="22"/>
      <c r="R597" s="22"/>
      <c r="S597" s="22"/>
      <c r="T597" s="127"/>
      <c r="U597" s="127"/>
      <c r="V597" s="22"/>
      <c r="W597" s="22"/>
      <c r="X597" s="22"/>
      <c r="Y597" s="22"/>
      <c r="Z597" s="22"/>
      <c r="AA597" s="127"/>
      <c r="AB597" s="127"/>
      <c r="AC597" s="22"/>
      <c r="AD597" s="22"/>
      <c r="AE597" s="22"/>
      <c r="AF597" s="22"/>
      <c r="AG597" s="22"/>
      <c r="AH597" s="127"/>
    </row>
    <row r="598" spans="6:34" x14ac:dyDescent="0.2">
      <c r="F598" s="1"/>
      <c r="N598" s="127"/>
      <c r="O598" s="22"/>
      <c r="P598" s="22"/>
      <c r="Q598" s="22"/>
      <c r="R598" s="22"/>
      <c r="S598" s="22"/>
      <c r="T598" s="127"/>
      <c r="U598" s="127"/>
      <c r="V598" s="22"/>
      <c r="W598" s="22"/>
      <c r="X598" s="22"/>
      <c r="Y598" s="22"/>
      <c r="Z598" s="22"/>
      <c r="AA598" s="127"/>
      <c r="AB598" s="127"/>
      <c r="AC598" s="22"/>
      <c r="AD598" s="22"/>
      <c r="AE598" s="22"/>
      <c r="AF598" s="22"/>
      <c r="AG598" s="22"/>
      <c r="AH598" s="127"/>
    </row>
    <row r="599" spans="6:34" x14ac:dyDescent="0.2">
      <c r="F599" s="1"/>
      <c r="N599" s="127"/>
      <c r="O599" s="22"/>
      <c r="P599" s="22"/>
      <c r="Q599" s="22"/>
      <c r="R599" s="22"/>
      <c r="S599" s="22"/>
      <c r="T599" s="127"/>
      <c r="U599" s="127"/>
      <c r="V599" s="22"/>
      <c r="W599" s="22"/>
      <c r="X599" s="22"/>
      <c r="Y599" s="22"/>
      <c r="Z599" s="22"/>
      <c r="AA599" s="127"/>
      <c r="AB599" s="127"/>
      <c r="AC599" s="22"/>
      <c r="AD599" s="22"/>
      <c r="AE599" s="22"/>
      <c r="AF599" s="22"/>
      <c r="AG599" s="22"/>
      <c r="AH599" s="127"/>
    </row>
    <row r="600" spans="6:34" x14ac:dyDescent="0.2">
      <c r="F600" s="1"/>
      <c r="N600" s="127"/>
      <c r="O600" s="22"/>
      <c r="P600" s="22"/>
      <c r="Q600" s="22"/>
      <c r="R600" s="22"/>
      <c r="S600" s="22"/>
      <c r="T600" s="127"/>
      <c r="U600" s="127"/>
      <c r="V600" s="22"/>
      <c r="W600" s="22"/>
      <c r="X600" s="22"/>
      <c r="Y600" s="22"/>
      <c r="Z600" s="22"/>
      <c r="AA600" s="127"/>
      <c r="AB600" s="127"/>
      <c r="AC600" s="22"/>
      <c r="AD600" s="22"/>
      <c r="AE600" s="22"/>
      <c r="AF600" s="22"/>
      <c r="AG600" s="22"/>
      <c r="AH600" s="127"/>
    </row>
    <row r="601" spans="6:34" x14ac:dyDescent="0.2">
      <c r="F601" s="1"/>
      <c r="N601" s="127"/>
      <c r="O601" s="22"/>
      <c r="P601" s="22"/>
      <c r="Q601" s="22"/>
      <c r="R601" s="22"/>
      <c r="S601" s="22"/>
      <c r="T601" s="127"/>
      <c r="U601" s="127"/>
      <c r="V601" s="22"/>
      <c r="W601" s="22"/>
      <c r="X601" s="22"/>
      <c r="Y601" s="22"/>
      <c r="Z601" s="22"/>
      <c r="AA601" s="127"/>
      <c r="AB601" s="127"/>
      <c r="AC601" s="22"/>
      <c r="AD601" s="22"/>
      <c r="AE601" s="22"/>
      <c r="AF601" s="22"/>
      <c r="AG601" s="22"/>
      <c r="AH601" s="127"/>
    </row>
    <row r="602" spans="6:34" x14ac:dyDescent="0.2">
      <c r="F602" s="1"/>
      <c r="N602" s="127"/>
      <c r="O602" s="22"/>
      <c r="P602" s="22"/>
      <c r="Q602" s="22"/>
      <c r="R602" s="22"/>
      <c r="S602" s="22"/>
      <c r="T602" s="127"/>
      <c r="U602" s="127"/>
      <c r="V602" s="22"/>
      <c r="W602" s="22"/>
      <c r="X602" s="22"/>
      <c r="Y602" s="22"/>
      <c r="Z602" s="22"/>
      <c r="AA602" s="127"/>
      <c r="AB602" s="127"/>
      <c r="AC602" s="22"/>
      <c r="AD602" s="22"/>
      <c r="AE602" s="22"/>
      <c r="AF602" s="22"/>
      <c r="AG602" s="22"/>
      <c r="AH602" s="127"/>
    </row>
    <row r="603" spans="6:34" x14ac:dyDescent="0.2">
      <c r="F603" s="1"/>
      <c r="N603" s="127"/>
      <c r="O603" s="22"/>
      <c r="P603" s="22"/>
      <c r="Q603" s="22"/>
      <c r="R603" s="22"/>
      <c r="S603" s="22"/>
      <c r="T603" s="127"/>
      <c r="U603" s="127"/>
      <c r="V603" s="22"/>
      <c r="W603" s="22"/>
      <c r="X603" s="22"/>
      <c r="Y603" s="22"/>
      <c r="Z603" s="22"/>
      <c r="AA603" s="127"/>
      <c r="AB603" s="127"/>
      <c r="AC603" s="22"/>
      <c r="AD603" s="22"/>
      <c r="AE603" s="22"/>
      <c r="AF603" s="22"/>
      <c r="AG603" s="22"/>
      <c r="AH603" s="127"/>
    </row>
    <row r="604" spans="6:34" x14ac:dyDescent="0.2">
      <c r="F604" s="1"/>
      <c r="N604" s="127"/>
      <c r="O604" s="22"/>
      <c r="P604" s="22"/>
      <c r="Q604" s="22"/>
      <c r="R604" s="22"/>
      <c r="S604" s="22"/>
      <c r="T604" s="127"/>
      <c r="U604" s="127"/>
      <c r="V604" s="22"/>
      <c r="W604" s="22"/>
      <c r="X604" s="22"/>
      <c r="Y604" s="22"/>
      <c r="Z604" s="22"/>
      <c r="AA604" s="127"/>
      <c r="AB604" s="127"/>
      <c r="AC604" s="22"/>
      <c r="AD604" s="22"/>
      <c r="AE604" s="22"/>
      <c r="AF604" s="22"/>
      <c r="AG604" s="22"/>
      <c r="AH604" s="127"/>
    </row>
    <row r="605" spans="6:34" x14ac:dyDescent="0.2">
      <c r="F605" s="1"/>
      <c r="N605" s="127"/>
      <c r="O605" s="22"/>
      <c r="P605" s="22"/>
      <c r="Q605" s="22"/>
      <c r="R605" s="22"/>
      <c r="S605" s="22"/>
      <c r="T605" s="127"/>
      <c r="U605" s="127"/>
      <c r="V605" s="22"/>
      <c r="W605" s="22"/>
      <c r="X605" s="22"/>
      <c r="Y605" s="22"/>
      <c r="Z605" s="22"/>
      <c r="AA605" s="127"/>
      <c r="AB605" s="127"/>
      <c r="AC605" s="22"/>
      <c r="AD605" s="22"/>
      <c r="AE605" s="22"/>
      <c r="AF605" s="22"/>
      <c r="AG605" s="22"/>
      <c r="AH605" s="127"/>
    </row>
    <row r="606" spans="6:34" x14ac:dyDescent="0.2">
      <c r="F606" s="1"/>
      <c r="N606" s="127"/>
      <c r="O606" s="22"/>
      <c r="P606" s="22"/>
      <c r="Q606" s="22"/>
      <c r="R606" s="22"/>
      <c r="S606" s="22"/>
      <c r="T606" s="127"/>
      <c r="U606" s="127"/>
      <c r="V606" s="22"/>
      <c r="W606" s="22"/>
      <c r="X606" s="22"/>
      <c r="Y606" s="22"/>
      <c r="Z606" s="22"/>
      <c r="AA606" s="127"/>
      <c r="AB606" s="127"/>
      <c r="AC606" s="22"/>
      <c r="AD606" s="22"/>
      <c r="AE606" s="22"/>
      <c r="AF606" s="22"/>
      <c r="AG606" s="22"/>
      <c r="AH606" s="127"/>
    </row>
    <row r="607" spans="6:34" x14ac:dyDescent="0.2">
      <c r="F607" s="1"/>
      <c r="N607" s="127"/>
      <c r="O607" s="22"/>
      <c r="P607" s="22"/>
      <c r="Q607" s="22"/>
      <c r="R607" s="22"/>
      <c r="S607" s="22"/>
      <c r="T607" s="127"/>
      <c r="U607" s="127"/>
      <c r="V607" s="22"/>
      <c r="W607" s="22"/>
      <c r="X607" s="22"/>
      <c r="Y607" s="22"/>
      <c r="Z607" s="22"/>
      <c r="AA607" s="127"/>
      <c r="AB607" s="127"/>
      <c r="AC607" s="22"/>
      <c r="AD607" s="22"/>
      <c r="AE607" s="22"/>
      <c r="AF607" s="22"/>
      <c r="AG607" s="22"/>
      <c r="AH607" s="127"/>
    </row>
    <row r="608" spans="6:34" x14ac:dyDescent="0.2">
      <c r="F608" s="1"/>
      <c r="N608" s="127"/>
      <c r="O608" s="22"/>
      <c r="P608" s="22"/>
      <c r="Q608" s="22"/>
      <c r="R608" s="22"/>
      <c r="S608" s="22"/>
      <c r="T608" s="127"/>
      <c r="U608" s="127"/>
      <c r="V608" s="22"/>
      <c r="W608" s="22"/>
      <c r="X608" s="22"/>
      <c r="Y608" s="22"/>
      <c r="Z608" s="22"/>
      <c r="AA608" s="127"/>
      <c r="AB608" s="127"/>
      <c r="AC608" s="22"/>
      <c r="AD608" s="22"/>
      <c r="AE608" s="22"/>
      <c r="AF608" s="22"/>
      <c r="AG608" s="22"/>
      <c r="AH608" s="127"/>
    </row>
    <row r="609" spans="6:34" x14ac:dyDescent="0.2">
      <c r="F609" s="1"/>
      <c r="N609" s="127"/>
      <c r="O609" s="22"/>
      <c r="P609" s="22"/>
      <c r="Q609" s="22"/>
      <c r="R609" s="22"/>
      <c r="S609" s="22"/>
      <c r="T609" s="127"/>
      <c r="U609" s="127"/>
      <c r="V609" s="22"/>
      <c r="W609" s="22"/>
      <c r="X609" s="22"/>
      <c r="Y609" s="22"/>
      <c r="Z609" s="22"/>
      <c r="AA609" s="127"/>
      <c r="AB609" s="127"/>
      <c r="AC609" s="22"/>
      <c r="AD609" s="22"/>
      <c r="AE609" s="22"/>
      <c r="AF609" s="22"/>
      <c r="AG609" s="22"/>
      <c r="AH609" s="127"/>
    </row>
    <row r="610" spans="6:34" x14ac:dyDescent="0.2">
      <c r="F610" s="1"/>
      <c r="N610" s="127"/>
      <c r="O610" s="22"/>
      <c r="P610" s="22"/>
      <c r="Q610" s="22"/>
      <c r="R610" s="22"/>
      <c r="S610" s="22"/>
      <c r="T610" s="127"/>
      <c r="U610" s="127"/>
      <c r="V610" s="22"/>
      <c r="W610" s="22"/>
      <c r="X610" s="22"/>
      <c r="Y610" s="22"/>
      <c r="Z610" s="22"/>
      <c r="AA610" s="127"/>
      <c r="AB610" s="127"/>
      <c r="AC610" s="22"/>
      <c r="AD610" s="22"/>
      <c r="AE610" s="22"/>
      <c r="AF610" s="22"/>
      <c r="AG610" s="22"/>
      <c r="AH610" s="127"/>
    </row>
    <row r="611" spans="6:34" x14ac:dyDescent="0.2">
      <c r="F611" s="1"/>
      <c r="N611" s="127"/>
      <c r="O611" s="22"/>
      <c r="P611" s="22"/>
      <c r="Q611" s="22"/>
      <c r="R611" s="22"/>
      <c r="S611" s="22"/>
      <c r="T611" s="127"/>
      <c r="U611" s="127"/>
      <c r="V611" s="22"/>
      <c r="W611" s="22"/>
      <c r="X611" s="22"/>
      <c r="Y611" s="22"/>
      <c r="Z611" s="22"/>
      <c r="AA611" s="127"/>
      <c r="AB611" s="127"/>
      <c r="AC611" s="22"/>
      <c r="AD611" s="22"/>
      <c r="AE611" s="22"/>
      <c r="AF611" s="22"/>
      <c r="AG611" s="22"/>
      <c r="AH611" s="127"/>
    </row>
    <row r="612" spans="6:34" x14ac:dyDescent="0.2">
      <c r="F612" s="1"/>
      <c r="N612" s="127"/>
      <c r="O612" s="22"/>
      <c r="P612" s="22"/>
      <c r="Q612" s="22"/>
      <c r="R612" s="22"/>
      <c r="S612" s="22"/>
      <c r="T612" s="127"/>
      <c r="U612" s="127"/>
      <c r="V612" s="22"/>
      <c r="W612" s="22"/>
      <c r="X612" s="22"/>
      <c r="Y612" s="22"/>
      <c r="Z612" s="22"/>
      <c r="AA612" s="127"/>
      <c r="AB612" s="127"/>
      <c r="AC612" s="22"/>
      <c r="AD612" s="22"/>
      <c r="AE612" s="22"/>
      <c r="AF612" s="22"/>
      <c r="AG612" s="22"/>
      <c r="AH612" s="127"/>
    </row>
    <row r="613" spans="6:34" x14ac:dyDescent="0.2">
      <c r="F613" s="1"/>
      <c r="N613" s="127"/>
      <c r="O613" s="22"/>
      <c r="P613" s="22"/>
      <c r="Q613" s="22"/>
      <c r="R613" s="22"/>
      <c r="S613" s="22"/>
      <c r="T613" s="127"/>
      <c r="U613" s="127"/>
      <c r="V613" s="22"/>
      <c r="W613" s="22"/>
      <c r="X613" s="22"/>
      <c r="Y613" s="22"/>
      <c r="Z613" s="22"/>
      <c r="AA613" s="127"/>
      <c r="AB613" s="127"/>
      <c r="AC613" s="22"/>
      <c r="AD613" s="22"/>
      <c r="AE613" s="22"/>
      <c r="AF613" s="22"/>
      <c r="AG613" s="22"/>
      <c r="AH613" s="127"/>
    </row>
    <row r="614" spans="6:34" x14ac:dyDescent="0.2">
      <c r="F614" s="1"/>
      <c r="N614" s="127"/>
      <c r="O614" s="22"/>
      <c r="P614" s="22"/>
      <c r="Q614" s="22"/>
      <c r="R614" s="22"/>
      <c r="S614" s="22"/>
      <c r="T614" s="127"/>
      <c r="U614" s="127"/>
      <c r="V614" s="22"/>
      <c r="W614" s="22"/>
      <c r="X614" s="22"/>
      <c r="Y614" s="22"/>
      <c r="Z614" s="22"/>
      <c r="AA614" s="127"/>
      <c r="AB614" s="127"/>
      <c r="AC614" s="22"/>
      <c r="AD614" s="22"/>
      <c r="AE614" s="22"/>
      <c r="AF614" s="22"/>
      <c r="AG614" s="22"/>
      <c r="AH614" s="127"/>
    </row>
    <row r="615" spans="6:34" x14ac:dyDescent="0.2">
      <c r="F615" s="1"/>
      <c r="N615" s="127"/>
      <c r="O615" s="22"/>
      <c r="P615" s="22"/>
      <c r="Q615" s="22"/>
      <c r="R615" s="22"/>
      <c r="S615" s="22"/>
      <c r="T615" s="127"/>
      <c r="U615" s="127"/>
      <c r="V615" s="22"/>
      <c r="W615" s="22"/>
      <c r="X615" s="22"/>
      <c r="Y615" s="22"/>
      <c r="Z615" s="22"/>
      <c r="AA615" s="127"/>
      <c r="AB615" s="127"/>
      <c r="AC615" s="22"/>
      <c r="AD615" s="22"/>
      <c r="AE615" s="22"/>
      <c r="AF615" s="22"/>
      <c r="AG615" s="22"/>
      <c r="AH615" s="127"/>
    </row>
    <row r="616" spans="6:34" x14ac:dyDescent="0.2">
      <c r="F616" s="1"/>
      <c r="N616" s="127"/>
      <c r="O616" s="22"/>
      <c r="P616" s="22"/>
      <c r="Q616" s="22"/>
      <c r="R616" s="22"/>
      <c r="S616" s="22"/>
      <c r="T616" s="127"/>
      <c r="U616" s="127"/>
      <c r="V616" s="22"/>
      <c r="W616" s="22"/>
      <c r="X616" s="22"/>
      <c r="Y616" s="22"/>
      <c r="Z616" s="22"/>
      <c r="AA616" s="127"/>
      <c r="AB616" s="127"/>
      <c r="AC616" s="22"/>
      <c r="AD616" s="22"/>
      <c r="AE616" s="22"/>
      <c r="AF616" s="22"/>
      <c r="AG616" s="22"/>
      <c r="AH616" s="127"/>
    </row>
    <row r="617" spans="6:34" x14ac:dyDescent="0.2">
      <c r="F617" s="1"/>
      <c r="N617" s="127"/>
      <c r="O617" s="22"/>
      <c r="P617" s="22"/>
      <c r="Q617" s="22"/>
      <c r="R617" s="22"/>
      <c r="S617" s="22"/>
      <c r="T617" s="127"/>
      <c r="U617" s="127"/>
      <c r="V617" s="22"/>
      <c r="W617" s="22"/>
      <c r="X617" s="22"/>
      <c r="Y617" s="22"/>
      <c r="Z617" s="22"/>
      <c r="AA617" s="127"/>
      <c r="AB617" s="127"/>
      <c r="AC617" s="22"/>
      <c r="AD617" s="22"/>
      <c r="AE617" s="22"/>
      <c r="AF617" s="22"/>
      <c r="AG617" s="22"/>
      <c r="AH617" s="127"/>
    </row>
    <row r="618" spans="6:34" x14ac:dyDescent="0.2">
      <c r="F618" s="1"/>
      <c r="N618" s="127"/>
      <c r="O618" s="22"/>
      <c r="P618" s="22"/>
      <c r="Q618" s="22"/>
      <c r="R618" s="22"/>
      <c r="S618" s="22"/>
      <c r="T618" s="127"/>
      <c r="U618" s="127"/>
      <c r="V618" s="22"/>
      <c r="W618" s="22"/>
      <c r="X618" s="22"/>
      <c r="Y618" s="22"/>
      <c r="Z618" s="22"/>
      <c r="AA618" s="127"/>
      <c r="AB618" s="127"/>
      <c r="AC618" s="22"/>
      <c r="AD618" s="22"/>
      <c r="AE618" s="22"/>
      <c r="AF618" s="22"/>
      <c r="AG618" s="22"/>
      <c r="AH618" s="127"/>
    </row>
    <row r="619" spans="6:34" x14ac:dyDescent="0.2">
      <c r="F619" s="1"/>
      <c r="N619" s="127"/>
      <c r="O619" s="22"/>
      <c r="P619" s="22"/>
      <c r="Q619" s="22"/>
      <c r="R619" s="22"/>
      <c r="S619" s="22"/>
      <c r="T619" s="127"/>
      <c r="U619" s="127"/>
      <c r="V619" s="22"/>
      <c r="W619" s="22"/>
      <c r="X619" s="22"/>
      <c r="Y619" s="22"/>
      <c r="Z619" s="22"/>
      <c r="AA619" s="127"/>
      <c r="AB619" s="127"/>
      <c r="AC619" s="22"/>
      <c r="AD619" s="22"/>
      <c r="AE619" s="22"/>
      <c r="AF619" s="22"/>
      <c r="AG619" s="22"/>
      <c r="AH619" s="127"/>
    </row>
    <row r="620" spans="6:34" x14ac:dyDescent="0.2">
      <c r="F620" s="1"/>
      <c r="N620" s="127"/>
      <c r="O620" s="22"/>
      <c r="P620" s="22"/>
      <c r="Q620" s="22"/>
      <c r="R620" s="22"/>
      <c r="S620" s="22"/>
      <c r="T620" s="127"/>
      <c r="U620" s="127"/>
      <c r="V620" s="22"/>
      <c r="W620" s="22"/>
      <c r="X620" s="22"/>
      <c r="Y620" s="22"/>
      <c r="Z620" s="22"/>
      <c r="AA620" s="127"/>
      <c r="AB620" s="127"/>
      <c r="AC620" s="22"/>
      <c r="AD620" s="22"/>
      <c r="AE620" s="22"/>
      <c r="AF620" s="22"/>
      <c r="AG620" s="22"/>
      <c r="AH620" s="127"/>
    </row>
    <row r="621" spans="6:34" x14ac:dyDescent="0.2">
      <c r="F621" s="1"/>
      <c r="N621" s="127"/>
      <c r="O621" s="22"/>
      <c r="P621" s="22"/>
      <c r="Q621" s="22"/>
      <c r="R621" s="22"/>
      <c r="S621" s="22"/>
      <c r="T621" s="127"/>
      <c r="U621" s="127"/>
      <c r="V621" s="22"/>
      <c r="W621" s="22"/>
      <c r="X621" s="22"/>
      <c r="Y621" s="22"/>
      <c r="Z621" s="22"/>
      <c r="AA621" s="127"/>
      <c r="AB621" s="127"/>
      <c r="AC621" s="22"/>
      <c r="AD621" s="22"/>
      <c r="AE621" s="22"/>
      <c r="AF621" s="22"/>
      <c r="AG621" s="22"/>
      <c r="AH621" s="127"/>
    </row>
    <row r="622" spans="6:34" x14ac:dyDescent="0.2">
      <c r="F622" s="1"/>
      <c r="N622" s="127"/>
      <c r="O622" s="22"/>
      <c r="P622" s="22"/>
      <c r="Q622" s="22"/>
      <c r="R622" s="22"/>
      <c r="S622" s="22"/>
      <c r="T622" s="127"/>
      <c r="U622" s="127"/>
      <c r="V622" s="22"/>
      <c r="W622" s="22"/>
      <c r="X622" s="22"/>
      <c r="Y622" s="22"/>
      <c r="Z622" s="22"/>
      <c r="AA622" s="127"/>
      <c r="AB622" s="127"/>
      <c r="AC622" s="22"/>
      <c r="AD622" s="22"/>
      <c r="AE622" s="22"/>
      <c r="AF622" s="22"/>
      <c r="AG622" s="22"/>
      <c r="AH622" s="127"/>
    </row>
    <row r="623" spans="6:34" x14ac:dyDescent="0.2">
      <c r="F623" s="1"/>
      <c r="N623" s="127"/>
      <c r="O623" s="22"/>
      <c r="P623" s="22"/>
      <c r="Q623" s="22"/>
      <c r="R623" s="22"/>
      <c r="S623" s="22"/>
      <c r="T623" s="127"/>
      <c r="U623" s="127"/>
      <c r="V623" s="22"/>
      <c r="W623" s="22"/>
      <c r="X623" s="22"/>
      <c r="Y623" s="22"/>
      <c r="Z623" s="22"/>
      <c r="AA623" s="127"/>
      <c r="AB623" s="127"/>
      <c r="AC623" s="22"/>
      <c r="AD623" s="22"/>
      <c r="AE623" s="22"/>
      <c r="AF623" s="22"/>
      <c r="AG623" s="22"/>
      <c r="AH623" s="127"/>
    </row>
    <row r="624" spans="6:34" x14ac:dyDescent="0.2">
      <c r="F624" s="1"/>
      <c r="N624" s="127"/>
      <c r="O624" s="22"/>
      <c r="P624" s="22"/>
      <c r="Q624" s="22"/>
      <c r="R624" s="22"/>
      <c r="S624" s="22"/>
      <c r="T624" s="127"/>
      <c r="U624" s="127"/>
      <c r="V624" s="22"/>
      <c r="W624" s="22"/>
      <c r="X624" s="22"/>
      <c r="Y624" s="22"/>
      <c r="Z624" s="22"/>
      <c r="AA624" s="127"/>
      <c r="AB624" s="127"/>
      <c r="AC624" s="22"/>
      <c r="AD624" s="22"/>
      <c r="AE624" s="22"/>
      <c r="AF624" s="22"/>
      <c r="AG624" s="22"/>
      <c r="AH624" s="127"/>
    </row>
    <row r="625" spans="6:34" x14ac:dyDescent="0.2">
      <c r="F625" s="1"/>
      <c r="N625" s="127"/>
      <c r="O625" s="22"/>
      <c r="P625" s="22"/>
      <c r="Q625" s="22"/>
      <c r="R625" s="22"/>
      <c r="S625" s="22"/>
      <c r="T625" s="127"/>
      <c r="U625" s="127"/>
      <c r="V625" s="22"/>
      <c r="W625" s="22"/>
      <c r="X625" s="22"/>
      <c r="Y625" s="22"/>
      <c r="Z625" s="22"/>
      <c r="AA625" s="127"/>
      <c r="AB625" s="127"/>
      <c r="AC625" s="22"/>
      <c r="AD625" s="22"/>
      <c r="AE625" s="22"/>
      <c r="AF625" s="22"/>
      <c r="AG625" s="22"/>
      <c r="AH625" s="127"/>
    </row>
    <row r="626" spans="6:34" x14ac:dyDescent="0.2">
      <c r="F626" s="1"/>
      <c r="N626" s="127"/>
      <c r="O626" s="22"/>
      <c r="P626" s="22"/>
      <c r="Q626" s="22"/>
      <c r="R626" s="22"/>
      <c r="S626" s="22"/>
      <c r="T626" s="127"/>
      <c r="U626" s="127"/>
      <c r="V626" s="22"/>
      <c r="W626" s="22"/>
      <c r="X626" s="22"/>
      <c r="Y626" s="22"/>
      <c r="Z626" s="22"/>
      <c r="AA626" s="127"/>
      <c r="AB626" s="127"/>
      <c r="AC626" s="22"/>
      <c r="AD626" s="22"/>
      <c r="AE626" s="22"/>
      <c r="AF626" s="22"/>
      <c r="AG626" s="22"/>
      <c r="AH626" s="127"/>
    </row>
    <row r="627" spans="6:34" x14ac:dyDescent="0.2">
      <c r="F627" s="1"/>
      <c r="N627" s="127"/>
      <c r="O627" s="22"/>
      <c r="P627" s="22"/>
      <c r="Q627" s="22"/>
      <c r="R627" s="22"/>
      <c r="S627" s="22"/>
      <c r="T627" s="127"/>
      <c r="U627" s="127"/>
      <c r="V627" s="22"/>
      <c r="W627" s="22"/>
      <c r="X627" s="22"/>
      <c r="Y627" s="22"/>
      <c r="Z627" s="22"/>
      <c r="AA627" s="127"/>
      <c r="AB627" s="127"/>
      <c r="AC627" s="22"/>
      <c r="AD627" s="22"/>
      <c r="AE627" s="22"/>
      <c r="AF627" s="22"/>
      <c r="AG627" s="22"/>
      <c r="AH627" s="127"/>
    </row>
    <row r="628" spans="6:34" x14ac:dyDescent="0.2">
      <c r="F628" s="1"/>
      <c r="N628" s="127"/>
      <c r="O628" s="22"/>
      <c r="P628" s="22"/>
      <c r="Q628" s="22"/>
      <c r="R628" s="22"/>
      <c r="S628" s="22"/>
      <c r="T628" s="127"/>
      <c r="U628" s="127"/>
      <c r="V628" s="22"/>
      <c r="W628" s="22"/>
      <c r="X628" s="22"/>
      <c r="Y628" s="22"/>
      <c r="Z628" s="22"/>
      <c r="AA628" s="127"/>
      <c r="AB628" s="127"/>
      <c r="AC628" s="22"/>
      <c r="AD628" s="22"/>
      <c r="AE628" s="22"/>
      <c r="AF628" s="22"/>
      <c r="AG628" s="22"/>
      <c r="AH628" s="127"/>
    </row>
    <row r="629" spans="6:34" x14ac:dyDescent="0.2">
      <c r="F629" s="1"/>
      <c r="N629" s="127"/>
      <c r="O629" s="22"/>
      <c r="P629" s="22"/>
      <c r="Q629" s="22"/>
      <c r="R629" s="22"/>
      <c r="S629" s="22"/>
      <c r="T629" s="127"/>
      <c r="U629" s="127"/>
      <c r="V629" s="22"/>
      <c r="W629" s="22"/>
      <c r="X629" s="22"/>
      <c r="Y629" s="22"/>
      <c r="Z629" s="22"/>
      <c r="AA629" s="127"/>
      <c r="AB629" s="127"/>
      <c r="AC629" s="22"/>
      <c r="AD629" s="22"/>
      <c r="AE629" s="22"/>
      <c r="AF629" s="22"/>
      <c r="AG629" s="22"/>
      <c r="AH629" s="127"/>
    </row>
    <row r="630" spans="6:34" x14ac:dyDescent="0.2">
      <c r="F630" s="1"/>
      <c r="N630" s="127"/>
      <c r="O630" s="22"/>
      <c r="P630" s="22"/>
      <c r="Q630" s="22"/>
      <c r="R630" s="22"/>
      <c r="S630" s="22"/>
      <c r="T630" s="127"/>
      <c r="U630" s="127"/>
      <c r="V630" s="22"/>
      <c r="W630" s="22"/>
      <c r="X630" s="22"/>
      <c r="Y630" s="22"/>
      <c r="Z630" s="22"/>
      <c r="AA630" s="127"/>
      <c r="AB630" s="127"/>
      <c r="AC630" s="22"/>
      <c r="AD630" s="22"/>
      <c r="AE630" s="22"/>
      <c r="AF630" s="22"/>
      <c r="AG630" s="22"/>
      <c r="AH630" s="127"/>
    </row>
    <row r="631" spans="6:34" x14ac:dyDescent="0.2">
      <c r="F631" s="1"/>
      <c r="N631" s="127"/>
      <c r="O631" s="22"/>
      <c r="P631" s="22"/>
      <c r="Q631" s="22"/>
      <c r="R631" s="22"/>
      <c r="S631" s="22"/>
      <c r="T631" s="127"/>
      <c r="U631" s="127"/>
      <c r="V631" s="22"/>
      <c r="W631" s="22"/>
      <c r="X631" s="22"/>
      <c r="Y631" s="22"/>
      <c r="Z631" s="22"/>
      <c r="AA631" s="127"/>
      <c r="AB631" s="127"/>
      <c r="AC631" s="22"/>
      <c r="AD631" s="22"/>
      <c r="AE631" s="22"/>
      <c r="AF631" s="22"/>
      <c r="AG631" s="22"/>
      <c r="AH631" s="127"/>
    </row>
    <row r="632" spans="6:34" x14ac:dyDescent="0.2">
      <c r="F632" s="1"/>
      <c r="N632" s="127"/>
      <c r="O632" s="22"/>
      <c r="P632" s="22"/>
      <c r="Q632" s="22"/>
      <c r="R632" s="22"/>
      <c r="S632" s="22"/>
      <c r="T632" s="127"/>
      <c r="U632" s="127"/>
      <c r="V632" s="22"/>
      <c r="W632" s="22"/>
      <c r="X632" s="22"/>
      <c r="Y632" s="22"/>
      <c r="Z632" s="22"/>
      <c r="AA632" s="127"/>
      <c r="AB632" s="127"/>
      <c r="AC632" s="22"/>
      <c r="AD632" s="22"/>
      <c r="AE632" s="22"/>
      <c r="AF632" s="22"/>
      <c r="AG632" s="22"/>
      <c r="AH632" s="127"/>
    </row>
    <row r="633" spans="6:34" x14ac:dyDescent="0.2">
      <c r="F633" s="1"/>
      <c r="N633" s="127"/>
      <c r="O633" s="22"/>
      <c r="P633" s="22"/>
      <c r="Q633" s="22"/>
      <c r="R633" s="22"/>
      <c r="S633" s="22"/>
      <c r="T633" s="127"/>
      <c r="U633" s="127"/>
      <c r="V633" s="22"/>
      <c r="W633" s="22"/>
      <c r="X633" s="22"/>
      <c r="Y633" s="22"/>
      <c r="Z633" s="22"/>
      <c r="AA633" s="127"/>
      <c r="AB633" s="127"/>
      <c r="AC633" s="22"/>
      <c r="AD633" s="22"/>
      <c r="AE633" s="22"/>
      <c r="AF633" s="22"/>
      <c r="AG633" s="22"/>
      <c r="AH633" s="127"/>
    </row>
    <row r="634" spans="6:34" x14ac:dyDescent="0.2">
      <c r="F634" s="1"/>
      <c r="N634" s="127"/>
      <c r="O634" s="22"/>
      <c r="P634" s="22"/>
      <c r="Q634" s="22"/>
      <c r="R634" s="22"/>
      <c r="S634" s="22"/>
      <c r="T634" s="127"/>
      <c r="U634" s="127"/>
      <c r="V634" s="22"/>
      <c r="W634" s="22"/>
      <c r="X634" s="22"/>
      <c r="Y634" s="22"/>
      <c r="Z634" s="22"/>
      <c r="AA634" s="127"/>
      <c r="AB634" s="127"/>
      <c r="AC634" s="22"/>
      <c r="AD634" s="22"/>
      <c r="AE634" s="22"/>
      <c r="AF634" s="22"/>
      <c r="AG634" s="22"/>
      <c r="AH634" s="127"/>
    </row>
    <row r="635" spans="6:34" x14ac:dyDescent="0.2">
      <c r="F635" s="1"/>
      <c r="N635" s="127"/>
      <c r="O635" s="22"/>
      <c r="P635" s="22"/>
      <c r="Q635" s="22"/>
      <c r="R635" s="22"/>
      <c r="S635" s="22"/>
      <c r="T635" s="127"/>
      <c r="U635" s="127"/>
      <c r="V635" s="22"/>
      <c r="W635" s="22"/>
      <c r="X635" s="22"/>
      <c r="Y635" s="22"/>
      <c r="Z635" s="22"/>
      <c r="AA635" s="127"/>
      <c r="AB635" s="127"/>
      <c r="AC635" s="22"/>
      <c r="AD635" s="22"/>
      <c r="AE635" s="22"/>
      <c r="AF635" s="22"/>
      <c r="AG635" s="22"/>
      <c r="AH635" s="127"/>
    </row>
    <row r="636" spans="6:34" x14ac:dyDescent="0.2">
      <c r="F636" s="1"/>
      <c r="N636" s="127"/>
      <c r="O636" s="22"/>
      <c r="P636" s="22"/>
      <c r="Q636" s="22"/>
      <c r="R636" s="22"/>
      <c r="S636" s="22"/>
      <c r="T636" s="127"/>
      <c r="U636" s="127"/>
      <c r="V636" s="22"/>
      <c r="W636" s="22"/>
      <c r="X636" s="22"/>
      <c r="Y636" s="22"/>
      <c r="Z636" s="22"/>
      <c r="AA636" s="127"/>
      <c r="AB636" s="127"/>
      <c r="AC636" s="22"/>
      <c r="AD636" s="22"/>
      <c r="AE636" s="22"/>
      <c r="AF636" s="22"/>
      <c r="AG636" s="22"/>
      <c r="AH636" s="127"/>
    </row>
    <row r="637" spans="6:34" x14ac:dyDescent="0.2">
      <c r="F637" s="1"/>
      <c r="N637" s="127"/>
      <c r="O637" s="22"/>
      <c r="P637" s="22"/>
      <c r="Q637" s="22"/>
      <c r="R637" s="22"/>
      <c r="S637" s="22"/>
      <c r="T637" s="127"/>
      <c r="U637" s="127"/>
      <c r="V637" s="22"/>
      <c r="W637" s="22"/>
      <c r="X637" s="22"/>
      <c r="Y637" s="22"/>
      <c r="Z637" s="22"/>
      <c r="AA637" s="127"/>
      <c r="AB637" s="127"/>
      <c r="AC637" s="22"/>
      <c r="AD637" s="22"/>
      <c r="AE637" s="22"/>
      <c r="AF637" s="22"/>
      <c r="AG637" s="22"/>
      <c r="AH637" s="127"/>
    </row>
    <row r="638" spans="6:34" x14ac:dyDescent="0.2">
      <c r="F638" s="1"/>
      <c r="N638" s="127"/>
      <c r="O638" s="22"/>
      <c r="P638" s="22"/>
      <c r="Q638" s="22"/>
      <c r="R638" s="22"/>
      <c r="S638" s="22"/>
      <c r="T638" s="127"/>
      <c r="U638" s="127"/>
      <c r="V638" s="22"/>
      <c r="W638" s="22"/>
      <c r="X638" s="22"/>
      <c r="Y638" s="22"/>
      <c r="Z638" s="22"/>
      <c r="AA638" s="127"/>
      <c r="AB638" s="127"/>
      <c r="AC638" s="22"/>
      <c r="AD638" s="22"/>
      <c r="AE638" s="22"/>
      <c r="AF638" s="22"/>
      <c r="AG638" s="22"/>
      <c r="AH638" s="127"/>
    </row>
    <row r="639" spans="6:34" x14ac:dyDescent="0.2">
      <c r="F639" s="1"/>
      <c r="N639" s="127"/>
      <c r="O639" s="22"/>
      <c r="P639" s="22"/>
      <c r="Q639" s="22"/>
      <c r="R639" s="22"/>
      <c r="S639" s="22"/>
      <c r="T639" s="127"/>
      <c r="U639" s="127"/>
      <c r="V639" s="22"/>
      <c r="W639" s="22"/>
      <c r="X639" s="22"/>
      <c r="Y639" s="22"/>
      <c r="Z639" s="22"/>
      <c r="AA639" s="127"/>
      <c r="AB639" s="127"/>
      <c r="AC639" s="22"/>
      <c r="AD639" s="22"/>
      <c r="AE639" s="22"/>
      <c r="AF639" s="22"/>
      <c r="AG639" s="22"/>
      <c r="AH639" s="127"/>
    </row>
    <row r="640" spans="6:34" x14ac:dyDescent="0.2">
      <c r="F640" s="1"/>
      <c r="N640" s="127"/>
      <c r="O640" s="22"/>
      <c r="P640" s="22"/>
      <c r="Q640" s="22"/>
      <c r="R640" s="22"/>
      <c r="S640" s="22"/>
      <c r="T640" s="127"/>
      <c r="U640" s="127"/>
      <c r="V640" s="22"/>
      <c r="W640" s="22"/>
      <c r="X640" s="22"/>
      <c r="Y640" s="22"/>
      <c r="Z640" s="22"/>
      <c r="AA640" s="127"/>
      <c r="AB640" s="127"/>
      <c r="AC640" s="22"/>
      <c r="AD640" s="22"/>
      <c r="AE640" s="22"/>
      <c r="AF640" s="22"/>
      <c r="AG640" s="22"/>
      <c r="AH640" s="127"/>
    </row>
    <row r="641" spans="6:34" x14ac:dyDescent="0.2">
      <c r="F641" s="1"/>
      <c r="N641" s="127"/>
      <c r="O641" s="22"/>
      <c r="P641" s="22"/>
      <c r="Q641" s="22"/>
      <c r="R641" s="22"/>
      <c r="S641" s="22"/>
      <c r="T641" s="127"/>
      <c r="U641" s="127"/>
      <c r="V641" s="22"/>
      <c r="W641" s="22"/>
      <c r="X641" s="22"/>
      <c r="Y641" s="22"/>
      <c r="Z641" s="22"/>
      <c r="AA641" s="127"/>
      <c r="AB641" s="127"/>
      <c r="AC641" s="22"/>
      <c r="AD641" s="22"/>
      <c r="AE641" s="22"/>
      <c r="AF641" s="22"/>
      <c r="AG641" s="22"/>
      <c r="AH641" s="127"/>
    </row>
    <row r="642" spans="6:34" x14ac:dyDescent="0.2">
      <c r="F642" s="1"/>
      <c r="N642" s="127"/>
      <c r="O642" s="22"/>
      <c r="P642" s="22"/>
      <c r="Q642" s="22"/>
      <c r="R642" s="22"/>
      <c r="S642" s="22"/>
      <c r="T642" s="127"/>
      <c r="U642" s="127"/>
      <c r="V642" s="22"/>
      <c r="W642" s="22"/>
      <c r="X642" s="22"/>
      <c r="Y642" s="22"/>
      <c r="Z642" s="22"/>
      <c r="AA642" s="127"/>
      <c r="AB642" s="127"/>
      <c r="AC642" s="22"/>
      <c r="AD642" s="22"/>
      <c r="AE642" s="22"/>
      <c r="AF642" s="22"/>
      <c r="AG642" s="22"/>
      <c r="AH642" s="127"/>
    </row>
    <row r="643" spans="6:34" x14ac:dyDescent="0.2">
      <c r="F643" s="1"/>
      <c r="N643" s="127"/>
      <c r="O643" s="22"/>
      <c r="P643" s="22"/>
      <c r="Q643" s="22"/>
      <c r="R643" s="22"/>
      <c r="S643" s="22"/>
      <c r="T643" s="127"/>
      <c r="U643" s="127"/>
      <c r="V643" s="22"/>
      <c r="W643" s="22"/>
      <c r="X643" s="22"/>
      <c r="Y643" s="22"/>
      <c r="Z643" s="22"/>
      <c r="AA643" s="127"/>
      <c r="AB643" s="127"/>
      <c r="AC643" s="22"/>
      <c r="AD643" s="22"/>
      <c r="AE643" s="22"/>
      <c r="AF643" s="22"/>
      <c r="AG643" s="22"/>
      <c r="AH643" s="127"/>
    </row>
    <row r="644" spans="6:34" x14ac:dyDescent="0.2">
      <c r="F644" s="1"/>
      <c r="N644" s="127"/>
      <c r="O644" s="22"/>
      <c r="P644" s="22"/>
      <c r="Q644" s="22"/>
      <c r="R644" s="22"/>
      <c r="S644" s="22"/>
      <c r="T644" s="127"/>
      <c r="U644" s="127"/>
      <c r="V644" s="22"/>
      <c r="W644" s="22"/>
      <c r="X644" s="22"/>
      <c r="Y644" s="22"/>
      <c r="Z644" s="22"/>
      <c r="AA644" s="127"/>
      <c r="AB644" s="127"/>
      <c r="AC644" s="22"/>
      <c r="AD644" s="22"/>
      <c r="AE644" s="22"/>
      <c r="AF644" s="22"/>
      <c r="AG644" s="22"/>
      <c r="AH644" s="127"/>
    </row>
    <row r="645" spans="6:34" x14ac:dyDescent="0.2">
      <c r="F645" s="1"/>
      <c r="N645" s="127"/>
      <c r="O645" s="22"/>
      <c r="P645" s="22"/>
      <c r="Q645" s="22"/>
      <c r="R645" s="22"/>
      <c r="S645" s="22"/>
      <c r="T645" s="127"/>
      <c r="U645" s="127"/>
      <c r="V645" s="22"/>
      <c r="W645" s="22"/>
      <c r="X645" s="22"/>
      <c r="Y645" s="22"/>
      <c r="Z645" s="22"/>
      <c r="AA645" s="127"/>
      <c r="AB645" s="127"/>
      <c r="AC645" s="22"/>
      <c r="AD645" s="22"/>
      <c r="AE645" s="22"/>
      <c r="AF645" s="22"/>
      <c r="AG645" s="22"/>
      <c r="AH645" s="127"/>
    </row>
    <row r="646" spans="6:34" x14ac:dyDescent="0.2">
      <c r="F646" s="1"/>
      <c r="N646" s="127"/>
      <c r="O646" s="22"/>
      <c r="P646" s="22"/>
      <c r="Q646" s="22"/>
      <c r="R646" s="22"/>
      <c r="S646" s="22"/>
      <c r="T646" s="127"/>
      <c r="U646" s="127"/>
      <c r="V646" s="22"/>
      <c r="W646" s="22"/>
      <c r="X646" s="22"/>
      <c r="Y646" s="22"/>
      <c r="Z646" s="22"/>
      <c r="AA646" s="127"/>
      <c r="AB646" s="127"/>
      <c r="AC646" s="22"/>
      <c r="AD646" s="22"/>
      <c r="AE646" s="22"/>
      <c r="AF646" s="22"/>
      <c r="AG646" s="22"/>
      <c r="AH646" s="127"/>
    </row>
  </sheetData>
  <autoFilter ref="E5:G40" xr:uid="{00000000-0009-0000-0000-000001000000}"/>
  <mergeCells count="14">
    <mergeCell ref="K5:K6"/>
    <mergeCell ref="N5:T5"/>
    <mergeCell ref="U5:AA5"/>
    <mergeCell ref="AB5:AH5"/>
    <mergeCell ref="A1:AH1"/>
    <mergeCell ref="A2:AH2"/>
    <mergeCell ref="A3:AH3"/>
    <mergeCell ref="A4:D4"/>
    <mergeCell ref="A5:A6"/>
    <mergeCell ref="C5:C6"/>
    <mergeCell ref="E5:E6"/>
    <mergeCell ref="F5:F6"/>
    <mergeCell ref="G5:G6"/>
    <mergeCell ref="J5:J6"/>
  </mergeCell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opfilter">
                <anchor moveWithCells="1" sizeWithCells="1">
                  <from>
                    <xdr:col>35</xdr:col>
                    <xdr:colOff>409575</xdr:colOff>
                    <xdr:row>0</xdr:row>
                    <xdr:rowOff>209550</xdr:rowOff>
                  </from>
                  <to>
                    <xdr:col>37</xdr:col>
                    <xdr:colOff>361950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M741"/>
  <sheetViews>
    <sheetView workbookViewId="0">
      <selection activeCell="F5" sqref="F5:F6"/>
    </sheetView>
  </sheetViews>
  <sheetFormatPr defaultColWidth="9.125" defaultRowHeight="21.75" x14ac:dyDescent="0.2"/>
  <cols>
    <col min="1" max="1" width="4.125" style="109" customWidth="1"/>
    <col min="2" max="2" width="27.75" style="110" hidden="1" customWidth="1"/>
    <col min="3" max="3" width="20.375" style="110" hidden="1" customWidth="1"/>
    <col min="4" max="4" width="15.875" style="110" hidden="1" customWidth="1"/>
    <col min="5" max="5" width="24.375" style="110" hidden="1" customWidth="1"/>
    <col min="6" max="6" width="43.5" style="110" customWidth="1"/>
    <col min="7" max="7" width="24.125" style="110" hidden="1" customWidth="1"/>
    <col min="8" max="8" width="10" style="109" hidden="1" customWidth="1"/>
    <col min="9" max="9" width="2.75" style="109" hidden="1" customWidth="1"/>
    <col min="10" max="10" width="11.25" style="109" hidden="1" customWidth="1"/>
    <col min="11" max="11" width="9.75" style="109" hidden="1" customWidth="1"/>
    <col min="12" max="12" width="5.375" style="109" hidden="1" customWidth="1"/>
    <col min="13" max="13" width="0.625" style="109" hidden="1" customWidth="1"/>
    <col min="14" max="34" width="3.25" style="109" customWidth="1"/>
    <col min="35" max="277" width="9.125" style="110"/>
    <col min="278" max="278" width="4.375" style="110" customWidth="1"/>
    <col min="279" max="279" width="27" style="110" customWidth="1"/>
    <col min="280" max="280" width="26" style="110" customWidth="1"/>
    <col min="281" max="281" width="0" style="110" hidden="1" customWidth="1"/>
    <col min="282" max="282" width="4.625" style="110" customWidth="1"/>
    <col min="283" max="283" width="4.75" style="110" customWidth="1"/>
    <col min="284" max="284" width="23.875" style="110" customWidth="1"/>
    <col min="285" max="285" width="11" style="110" customWidth="1"/>
    <col min="286" max="286" width="25.25" style="110" customWidth="1"/>
    <col min="287" max="533" width="9.125" style="110"/>
    <col min="534" max="534" width="4.375" style="110" customWidth="1"/>
    <col min="535" max="535" width="27" style="110" customWidth="1"/>
    <col min="536" max="536" width="26" style="110" customWidth="1"/>
    <col min="537" max="537" width="0" style="110" hidden="1" customWidth="1"/>
    <col min="538" max="538" width="4.625" style="110" customWidth="1"/>
    <col min="539" max="539" width="4.75" style="110" customWidth="1"/>
    <col min="540" max="540" width="23.875" style="110" customWidth="1"/>
    <col min="541" max="541" width="11" style="110" customWidth="1"/>
    <col min="542" max="542" width="25.25" style="110" customWidth="1"/>
    <col min="543" max="789" width="9.125" style="110"/>
    <col min="790" max="790" width="4.375" style="110" customWidth="1"/>
    <col min="791" max="791" width="27" style="110" customWidth="1"/>
    <col min="792" max="792" width="26" style="110" customWidth="1"/>
    <col min="793" max="793" width="0" style="110" hidden="1" customWidth="1"/>
    <col min="794" max="794" width="4.625" style="110" customWidth="1"/>
    <col min="795" max="795" width="4.75" style="110" customWidth="1"/>
    <col min="796" max="796" width="23.875" style="110" customWidth="1"/>
    <col min="797" max="797" width="11" style="110" customWidth="1"/>
    <col min="798" max="798" width="25.25" style="110" customWidth="1"/>
    <col min="799" max="1045" width="9.125" style="110"/>
    <col min="1046" max="1046" width="4.375" style="110" customWidth="1"/>
    <col min="1047" max="1047" width="27" style="110" customWidth="1"/>
    <col min="1048" max="1048" width="26" style="110" customWidth="1"/>
    <col min="1049" max="1049" width="0" style="110" hidden="1" customWidth="1"/>
    <col min="1050" max="1050" width="4.625" style="110" customWidth="1"/>
    <col min="1051" max="1051" width="4.75" style="110" customWidth="1"/>
    <col min="1052" max="1052" width="23.875" style="110" customWidth="1"/>
    <col min="1053" max="1053" width="11" style="110" customWidth="1"/>
    <col min="1054" max="1054" width="25.25" style="110" customWidth="1"/>
    <col min="1055" max="1301" width="9.125" style="110"/>
    <col min="1302" max="1302" width="4.375" style="110" customWidth="1"/>
    <col min="1303" max="1303" width="27" style="110" customWidth="1"/>
    <col min="1304" max="1304" width="26" style="110" customWidth="1"/>
    <col min="1305" max="1305" width="0" style="110" hidden="1" customWidth="1"/>
    <col min="1306" max="1306" width="4.625" style="110" customWidth="1"/>
    <col min="1307" max="1307" width="4.75" style="110" customWidth="1"/>
    <col min="1308" max="1308" width="23.875" style="110" customWidth="1"/>
    <col min="1309" max="1309" width="11" style="110" customWidth="1"/>
    <col min="1310" max="1310" width="25.25" style="110" customWidth="1"/>
    <col min="1311" max="1557" width="9.125" style="110"/>
    <col min="1558" max="1558" width="4.375" style="110" customWidth="1"/>
    <col min="1559" max="1559" width="27" style="110" customWidth="1"/>
    <col min="1560" max="1560" width="26" style="110" customWidth="1"/>
    <col min="1561" max="1561" width="0" style="110" hidden="1" customWidth="1"/>
    <col min="1562" max="1562" width="4.625" style="110" customWidth="1"/>
    <col min="1563" max="1563" width="4.75" style="110" customWidth="1"/>
    <col min="1564" max="1564" width="23.875" style="110" customWidth="1"/>
    <col min="1565" max="1565" width="11" style="110" customWidth="1"/>
    <col min="1566" max="1566" width="25.25" style="110" customWidth="1"/>
    <col min="1567" max="1813" width="9.125" style="110"/>
    <col min="1814" max="1814" width="4.375" style="110" customWidth="1"/>
    <col min="1815" max="1815" width="27" style="110" customWidth="1"/>
    <col min="1816" max="1816" width="26" style="110" customWidth="1"/>
    <col min="1817" max="1817" width="0" style="110" hidden="1" customWidth="1"/>
    <col min="1818" max="1818" width="4.625" style="110" customWidth="1"/>
    <col min="1819" max="1819" width="4.75" style="110" customWidth="1"/>
    <col min="1820" max="1820" width="23.875" style="110" customWidth="1"/>
    <col min="1821" max="1821" width="11" style="110" customWidth="1"/>
    <col min="1822" max="1822" width="25.25" style="110" customWidth="1"/>
    <col min="1823" max="2069" width="9.125" style="110"/>
    <col min="2070" max="2070" width="4.375" style="110" customWidth="1"/>
    <col min="2071" max="2071" width="27" style="110" customWidth="1"/>
    <col min="2072" max="2072" width="26" style="110" customWidth="1"/>
    <col min="2073" max="2073" width="0" style="110" hidden="1" customWidth="1"/>
    <col min="2074" max="2074" width="4.625" style="110" customWidth="1"/>
    <col min="2075" max="2075" width="4.75" style="110" customWidth="1"/>
    <col min="2076" max="2076" width="23.875" style="110" customWidth="1"/>
    <col min="2077" max="2077" width="11" style="110" customWidth="1"/>
    <col min="2078" max="2078" width="25.25" style="110" customWidth="1"/>
    <col min="2079" max="2325" width="9.125" style="110"/>
    <col min="2326" max="2326" width="4.375" style="110" customWidth="1"/>
    <col min="2327" max="2327" width="27" style="110" customWidth="1"/>
    <col min="2328" max="2328" width="26" style="110" customWidth="1"/>
    <col min="2329" max="2329" width="0" style="110" hidden="1" customWidth="1"/>
    <col min="2330" max="2330" width="4.625" style="110" customWidth="1"/>
    <col min="2331" max="2331" width="4.75" style="110" customWidth="1"/>
    <col min="2332" max="2332" width="23.875" style="110" customWidth="1"/>
    <col min="2333" max="2333" width="11" style="110" customWidth="1"/>
    <col min="2334" max="2334" width="25.25" style="110" customWidth="1"/>
    <col min="2335" max="2581" width="9.125" style="110"/>
    <col min="2582" max="2582" width="4.375" style="110" customWidth="1"/>
    <col min="2583" max="2583" width="27" style="110" customWidth="1"/>
    <col min="2584" max="2584" width="26" style="110" customWidth="1"/>
    <col min="2585" max="2585" width="0" style="110" hidden="1" customWidth="1"/>
    <col min="2586" max="2586" width="4.625" style="110" customWidth="1"/>
    <col min="2587" max="2587" width="4.75" style="110" customWidth="1"/>
    <col min="2588" max="2588" width="23.875" style="110" customWidth="1"/>
    <col min="2589" max="2589" width="11" style="110" customWidth="1"/>
    <col min="2590" max="2590" width="25.25" style="110" customWidth="1"/>
    <col min="2591" max="2837" width="9.125" style="110"/>
    <col min="2838" max="2838" width="4.375" style="110" customWidth="1"/>
    <col min="2839" max="2839" width="27" style="110" customWidth="1"/>
    <col min="2840" max="2840" width="26" style="110" customWidth="1"/>
    <col min="2841" max="2841" width="0" style="110" hidden="1" customWidth="1"/>
    <col min="2842" max="2842" width="4.625" style="110" customWidth="1"/>
    <col min="2843" max="2843" width="4.75" style="110" customWidth="1"/>
    <col min="2844" max="2844" width="23.875" style="110" customWidth="1"/>
    <col min="2845" max="2845" width="11" style="110" customWidth="1"/>
    <col min="2846" max="2846" width="25.25" style="110" customWidth="1"/>
    <col min="2847" max="3093" width="9.125" style="110"/>
    <col min="3094" max="3094" width="4.375" style="110" customWidth="1"/>
    <col min="3095" max="3095" width="27" style="110" customWidth="1"/>
    <col min="3096" max="3096" width="26" style="110" customWidth="1"/>
    <col min="3097" max="3097" width="0" style="110" hidden="1" customWidth="1"/>
    <col min="3098" max="3098" width="4.625" style="110" customWidth="1"/>
    <col min="3099" max="3099" width="4.75" style="110" customWidth="1"/>
    <col min="3100" max="3100" width="23.875" style="110" customWidth="1"/>
    <col min="3101" max="3101" width="11" style="110" customWidth="1"/>
    <col min="3102" max="3102" width="25.25" style="110" customWidth="1"/>
    <col min="3103" max="3349" width="9.125" style="110"/>
    <col min="3350" max="3350" width="4.375" style="110" customWidth="1"/>
    <col min="3351" max="3351" width="27" style="110" customWidth="1"/>
    <col min="3352" max="3352" width="26" style="110" customWidth="1"/>
    <col min="3353" max="3353" width="0" style="110" hidden="1" customWidth="1"/>
    <col min="3354" max="3354" width="4.625" style="110" customWidth="1"/>
    <col min="3355" max="3355" width="4.75" style="110" customWidth="1"/>
    <col min="3356" max="3356" width="23.875" style="110" customWidth="1"/>
    <col min="3357" max="3357" width="11" style="110" customWidth="1"/>
    <col min="3358" max="3358" width="25.25" style="110" customWidth="1"/>
    <col min="3359" max="3605" width="9.125" style="110"/>
    <col min="3606" max="3606" width="4.375" style="110" customWidth="1"/>
    <col min="3607" max="3607" width="27" style="110" customWidth="1"/>
    <col min="3608" max="3608" width="26" style="110" customWidth="1"/>
    <col min="3609" max="3609" width="0" style="110" hidden="1" customWidth="1"/>
    <col min="3610" max="3610" width="4.625" style="110" customWidth="1"/>
    <col min="3611" max="3611" width="4.75" style="110" customWidth="1"/>
    <col min="3612" max="3612" width="23.875" style="110" customWidth="1"/>
    <col min="3613" max="3613" width="11" style="110" customWidth="1"/>
    <col min="3614" max="3614" width="25.25" style="110" customWidth="1"/>
    <col min="3615" max="3861" width="9.125" style="110"/>
    <col min="3862" max="3862" width="4.375" style="110" customWidth="1"/>
    <col min="3863" max="3863" width="27" style="110" customWidth="1"/>
    <col min="3864" max="3864" width="26" style="110" customWidth="1"/>
    <col min="3865" max="3865" width="0" style="110" hidden="1" customWidth="1"/>
    <col min="3866" max="3866" width="4.625" style="110" customWidth="1"/>
    <col min="3867" max="3867" width="4.75" style="110" customWidth="1"/>
    <col min="3868" max="3868" width="23.875" style="110" customWidth="1"/>
    <col min="3869" max="3869" width="11" style="110" customWidth="1"/>
    <col min="3870" max="3870" width="25.25" style="110" customWidth="1"/>
    <col min="3871" max="4117" width="9.125" style="110"/>
    <col min="4118" max="4118" width="4.375" style="110" customWidth="1"/>
    <col min="4119" max="4119" width="27" style="110" customWidth="1"/>
    <col min="4120" max="4120" width="26" style="110" customWidth="1"/>
    <col min="4121" max="4121" width="0" style="110" hidden="1" customWidth="1"/>
    <col min="4122" max="4122" width="4.625" style="110" customWidth="1"/>
    <col min="4123" max="4123" width="4.75" style="110" customWidth="1"/>
    <col min="4124" max="4124" width="23.875" style="110" customWidth="1"/>
    <col min="4125" max="4125" width="11" style="110" customWidth="1"/>
    <col min="4126" max="4126" width="25.25" style="110" customWidth="1"/>
    <col min="4127" max="4373" width="9.125" style="110"/>
    <col min="4374" max="4374" width="4.375" style="110" customWidth="1"/>
    <col min="4375" max="4375" width="27" style="110" customWidth="1"/>
    <col min="4376" max="4376" width="26" style="110" customWidth="1"/>
    <col min="4377" max="4377" width="0" style="110" hidden="1" customWidth="1"/>
    <col min="4378" max="4378" width="4.625" style="110" customWidth="1"/>
    <col min="4379" max="4379" width="4.75" style="110" customWidth="1"/>
    <col min="4380" max="4380" width="23.875" style="110" customWidth="1"/>
    <col min="4381" max="4381" width="11" style="110" customWidth="1"/>
    <col min="4382" max="4382" width="25.25" style="110" customWidth="1"/>
    <col min="4383" max="4629" width="9.125" style="110"/>
    <col min="4630" max="4630" width="4.375" style="110" customWidth="1"/>
    <col min="4631" max="4631" width="27" style="110" customWidth="1"/>
    <col min="4632" max="4632" width="26" style="110" customWidth="1"/>
    <col min="4633" max="4633" width="0" style="110" hidden="1" customWidth="1"/>
    <col min="4634" max="4634" width="4.625" style="110" customWidth="1"/>
    <col min="4635" max="4635" width="4.75" style="110" customWidth="1"/>
    <col min="4636" max="4636" width="23.875" style="110" customWidth="1"/>
    <col min="4637" max="4637" width="11" style="110" customWidth="1"/>
    <col min="4638" max="4638" width="25.25" style="110" customWidth="1"/>
    <col min="4639" max="4885" width="9.125" style="110"/>
    <col min="4886" max="4886" width="4.375" style="110" customWidth="1"/>
    <col min="4887" max="4887" width="27" style="110" customWidth="1"/>
    <col min="4888" max="4888" width="26" style="110" customWidth="1"/>
    <col min="4889" max="4889" width="0" style="110" hidden="1" customWidth="1"/>
    <col min="4890" max="4890" width="4.625" style="110" customWidth="1"/>
    <col min="4891" max="4891" width="4.75" style="110" customWidth="1"/>
    <col min="4892" max="4892" width="23.875" style="110" customWidth="1"/>
    <col min="4893" max="4893" width="11" style="110" customWidth="1"/>
    <col min="4894" max="4894" width="25.25" style="110" customWidth="1"/>
    <col min="4895" max="5141" width="9.125" style="110"/>
    <col min="5142" max="5142" width="4.375" style="110" customWidth="1"/>
    <col min="5143" max="5143" width="27" style="110" customWidth="1"/>
    <col min="5144" max="5144" width="26" style="110" customWidth="1"/>
    <col min="5145" max="5145" width="0" style="110" hidden="1" customWidth="1"/>
    <col min="5146" max="5146" width="4.625" style="110" customWidth="1"/>
    <col min="5147" max="5147" width="4.75" style="110" customWidth="1"/>
    <col min="5148" max="5148" width="23.875" style="110" customWidth="1"/>
    <col min="5149" max="5149" width="11" style="110" customWidth="1"/>
    <col min="5150" max="5150" width="25.25" style="110" customWidth="1"/>
    <col min="5151" max="5397" width="9.125" style="110"/>
    <col min="5398" max="5398" width="4.375" style="110" customWidth="1"/>
    <col min="5399" max="5399" width="27" style="110" customWidth="1"/>
    <col min="5400" max="5400" width="26" style="110" customWidth="1"/>
    <col min="5401" max="5401" width="0" style="110" hidden="1" customWidth="1"/>
    <col min="5402" max="5402" width="4.625" style="110" customWidth="1"/>
    <col min="5403" max="5403" width="4.75" style="110" customWidth="1"/>
    <col min="5404" max="5404" width="23.875" style="110" customWidth="1"/>
    <col min="5405" max="5405" width="11" style="110" customWidth="1"/>
    <col min="5406" max="5406" width="25.25" style="110" customWidth="1"/>
    <col min="5407" max="5653" width="9.125" style="110"/>
    <col min="5654" max="5654" width="4.375" style="110" customWidth="1"/>
    <col min="5655" max="5655" width="27" style="110" customWidth="1"/>
    <col min="5656" max="5656" width="26" style="110" customWidth="1"/>
    <col min="5657" max="5657" width="0" style="110" hidden="1" customWidth="1"/>
    <col min="5658" max="5658" width="4.625" style="110" customWidth="1"/>
    <col min="5659" max="5659" width="4.75" style="110" customWidth="1"/>
    <col min="5660" max="5660" width="23.875" style="110" customWidth="1"/>
    <col min="5661" max="5661" width="11" style="110" customWidth="1"/>
    <col min="5662" max="5662" width="25.25" style="110" customWidth="1"/>
    <col min="5663" max="5909" width="9.125" style="110"/>
    <col min="5910" max="5910" width="4.375" style="110" customWidth="1"/>
    <col min="5911" max="5911" width="27" style="110" customWidth="1"/>
    <col min="5912" max="5912" width="26" style="110" customWidth="1"/>
    <col min="5913" max="5913" width="0" style="110" hidden="1" customWidth="1"/>
    <col min="5914" max="5914" width="4.625" style="110" customWidth="1"/>
    <col min="5915" max="5915" width="4.75" style="110" customWidth="1"/>
    <col min="5916" max="5916" width="23.875" style="110" customWidth="1"/>
    <col min="5917" max="5917" width="11" style="110" customWidth="1"/>
    <col min="5918" max="5918" width="25.25" style="110" customWidth="1"/>
    <col min="5919" max="6165" width="9.125" style="110"/>
    <col min="6166" max="6166" width="4.375" style="110" customWidth="1"/>
    <col min="6167" max="6167" width="27" style="110" customWidth="1"/>
    <col min="6168" max="6168" width="26" style="110" customWidth="1"/>
    <col min="6169" max="6169" width="0" style="110" hidden="1" customWidth="1"/>
    <col min="6170" max="6170" width="4.625" style="110" customWidth="1"/>
    <col min="6171" max="6171" width="4.75" style="110" customWidth="1"/>
    <col min="6172" max="6172" width="23.875" style="110" customWidth="1"/>
    <col min="6173" max="6173" width="11" style="110" customWidth="1"/>
    <col min="6174" max="6174" width="25.25" style="110" customWidth="1"/>
    <col min="6175" max="6421" width="9.125" style="110"/>
    <col min="6422" max="6422" width="4.375" style="110" customWidth="1"/>
    <col min="6423" max="6423" width="27" style="110" customWidth="1"/>
    <col min="6424" max="6424" width="26" style="110" customWidth="1"/>
    <col min="6425" max="6425" width="0" style="110" hidden="1" customWidth="1"/>
    <col min="6426" max="6426" width="4.625" style="110" customWidth="1"/>
    <col min="6427" max="6427" width="4.75" style="110" customWidth="1"/>
    <col min="6428" max="6428" width="23.875" style="110" customWidth="1"/>
    <col min="6429" max="6429" width="11" style="110" customWidth="1"/>
    <col min="6430" max="6430" width="25.25" style="110" customWidth="1"/>
    <col min="6431" max="6677" width="9.125" style="110"/>
    <col min="6678" max="6678" width="4.375" style="110" customWidth="1"/>
    <col min="6679" max="6679" width="27" style="110" customWidth="1"/>
    <col min="6680" max="6680" width="26" style="110" customWidth="1"/>
    <col min="6681" max="6681" width="0" style="110" hidden="1" customWidth="1"/>
    <col min="6682" max="6682" width="4.625" style="110" customWidth="1"/>
    <col min="6683" max="6683" width="4.75" style="110" customWidth="1"/>
    <col min="6684" max="6684" width="23.875" style="110" customWidth="1"/>
    <col min="6685" max="6685" width="11" style="110" customWidth="1"/>
    <col min="6686" max="6686" width="25.25" style="110" customWidth="1"/>
    <col min="6687" max="6933" width="9.125" style="110"/>
    <col min="6934" max="6934" width="4.375" style="110" customWidth="1"/>
    <col min="6935" max="6935" width="27" style="110" customWidth="1"/>
    <col min="6936" max="6936" width="26" style="110" customWidth="1"/>
    <col min="6937" max="6937" width="0" style="110" hidden="1" customWidth="1"/>
    <col min="6938" max="6938" width="4.625" style="110" customWidth="1"/>
    <col min="6939" max="6939" width="4.75" style="110" customWidth="1"/>
    <col min="6940" max="6940" width="23.875" style="110" customWidth="1"/>
    <col min="6941" max="6941" width="11" style="110" customWidth="1"/>
    <col min="6942" max="6942" width="25.25" style="110" customWidth="1"/>
    <col min="6943" max="7189" width="9.125" style="110"/>
    <col min="7190" max="7190" width="4.375" style="110" customWidth="1"/>
    <col min="7191" max="7191" width="27" style="110" customWidth="1"/>
    <col min="7192" max="7192" width="26" style="110" customWidth="1"/>
    <col min="7193" max="7193" width="0" style="110" hidden="1" customWidth="1"/>
    <col min="7194" max="7194" width="4.625" style="110" customWidth="1"/>
    <col min="7195" max="7195" width="4.75" style="110" customWidth="1"/>
    <col min="7196" max="7196" width="23.875" style="110" customWidth="1"/>
    <col min="7197" max="7197" width="11" style="110" customWidth="1"/>
    <col min="7198" max="7198" width="25.25" style="110" customWidth="1"/>
    <col min="7199" max="7445" width="9.125" style="110"/>
    <col min="7446" max="7446" width="4.375" style="110" customWidth="1"/>
    <col min="7447" max="7447" width="27" style="110" customWidth="1"/>
    <col min="7448" max="7448" width="26" style="110" customWidth="1"/>
    <col min="7449" max="7449" width="0" style="110" hidden="1" customWidth="1"/>
    <col min="7450" max="7450" width="4.625" style="110" customWidth="1"/>
    <col min="7451" max="7451" width="4.75" style="110" customWidth="1"/>
    <col min="7452" max="7452" width="23.875" style="110" customWidth="1"/>
    <col min="7453" max="7453" width="11" style="110" customWidth="1"/>
    <col min="7454" max="7454" width="25.25" style="110" customWidth="1"/>
    <col min="7455" max="7701" width="9.125" style="110"/>
    <col min="7702" max="7702" width="4.375" style="110" customWidth="1"/>
    <col min="7703" max="7703" width="27" style="110" customWidth="1"/>
    <col min="7704" max="7704" width="26" style="110" customWidth="1"/>
    <col min="7705" max="7705" width="0" style="110" hidden="1" customWidth="1"/>
    <col min="7706" max="7706" width="4.625" style="110" customWidth="1"/>
    <col min="7707" max="7707" width="4.75" style="110" customWidth="1"/>
    <col min="7708" max="7708" width="23.875" style="110" customWidth="1"/>
    <col min="7709" max="7709" width="11" style="110" customWidth="1"/>
    <col min="7710" max="7710" width="25.25" style="110" customWidth="1"/>
    <col min="7711" max="7957" width="9.125" style="110"/>
    <col min="7958" max="7958" width="4.375" style="110" customWidth="1"/>
    <col min="7959" max="7959" width="27" style="110" customWidth="1"/>
    <col min="7960" max="7960" width="26" style="110" customWidth="1"/>
    <col min="7961" max="7961" width="0" style="110" hidden="1" customWidth="1"/>
    <col min="7962" max="7962" width="4.625" style="110" customWidth="1"/>
    <col min="7963" max="7963" width="4.75" style="110" customWidth="1"/>
    <col min="7964" max="7964" width="23.875" style="110" customWidth="1"/>
    <col min="7965" max="7965" width="11" style="110" customWidth="1"/>
    <col min="7966" max="7966" width="25.25" style="110" customWidth="1"/>
    <col min="7967" max="8213" width="9.125" style="110"/>
    <col min="8214" max="8214" width="4.375" style="110" customWidth="1"/>
    <col min="8215" max="8215" width="27" style="110" customWidth="1"/>
    <col min="8216" max="8216" width="26" style="110" customWidth="1"/>
    <col min="8217" max="8217" width="0" style="110" hidden="1" customWidth="1"/>
    <col min="8218" max="8218" width="4.625" style="110" customWidth="1"/>
    <col min="8219" max="8219" width="4.75" style="110" customWidth="1"/>
    <col min="8220" max="8220" width="23.875" style="110" customWidth="1"/>
    <col min="8221" max="8221" width="11" style="110" customWidth="1"/>
    <col min="8222" max="8222" width="25.25" style="110" customWidth="1"/>
    <col min="8223" max="8469" width="9.125" style="110"/>
    <col min="8470" max="8470" width="4.375" style="110" customWidth="1"/>
    <col min="8471" max="8471" width="27" style="110" customWidth="1"/>
    <col min="8472" max="8472" width="26" style="110" customWidth="1"/>
    <col min="8473" max="8473" width="0" style="110" hidden="1" customWidth="1"/>
    <col min="8474" max="8474" width="4.625" style="110" customWidth="1"/>
    <col min="8475" max="8475" width="4.75" style="110" customWidth="1"/>
    <col min="8476" max="8476" width="23.875" style="110" customWidth="1"/>
    <col min="8477" max="8477" width="11" style="110" customWidth="1"/>
    <col min="8478" max="8478" width="25.25" style="110" customWidth="1"/>
    <col min="8479" max="8725" width="9.125" style="110"/>
    <col min="8726" max="8726" width="4.375" style="110" customWidth="1"/>
    <col min="8727" max="8727" width="27" style="110" customWidth="1"/>
    <col min="8728" max="8728" width="26" style="110" customWidth="1"/>
    <col min="8729" max="8729" width="0" style="110" hidden="1" customWidth="1"/>
    <col min="8730" max="8730" width="4.625" style="110" customWidth="1"/>
    <col min="8731" max="8731" width="4.75" style="110" customWidth="1"/>
    <col min="8732" max="8732" width="23.875" style="110" customWidth="1"/>
    <col min="8733" max="8733" width="11" style="110" customWidth="1"/>
    <col min="8734" max="8734" width="25.25" style="110" customWidth="1"/>
    <col min="8735" max="8981" width="9.125" style="110"/>
    <col min="8982" max="8982" width="4.375" style="110" customWidth="1"/>
    <col min="8983" max="8983" width="27" style="110" customWidth="1"/>
    <col min="8984" max="8984" width="26" style="110" customWidth="1"/>
    <col min="8985" max="8985" width="0" style="110" hidden="1" customWidth="1"/>
    <col min="8986" max="8986" width="4.625" style="110" customWidth="1"/>
    <col min="8987" max="8987" width="4.75" style="110" customWidth="1"/>
    <col min="8988" max="8988" width="23.875" style="110" customWidth="1"/>
    <col min="8989" max="8989" width="11" style="110" customWidth="1"/>
    <col min="8990" max="8990" width="25.25" style="110" customWidth="1"/>
    <col min="8991" max="9237" width="9.125" style="110"/>
    <col min="9238" max="9238" width="4.375" style="110" customWidth="1"/>
    <col min="9239" max="9239" width="27" style="110" customWidth="1"/>
    <col min="9240" max="9240" width="26" style="110" customWidth="1"/>
    <col min="9241" max="9241" width="0" style="110" hidden="1" customWidth="1"/>
    <col min="9242" max="9242" width="4.625" style="110" customWidth="1"/>
    <col min="9243" max="9243" width="4.75" style="110" customWidth="1"/>
    <col min="9244" max="9244" width="23.875" style="110" customWidth="1"/>
    <col min="9245" max="9245" width="11" style="110" customWidth="1"/>
    <col min="9246" max="9246" width="25.25" style="110" customWidth="1"/>
    <col min="9247" max="9493" width="9.125" style="110"/>
    <col min="9494" max="9494" width="4.375" style="110" customWidth="1"/>
    <col min="9495" max="9495" width="27" style="110" customWidth="1"/>
    <col min="9496" max="9496" width="26" style="110" customWidth="1"/>
    <col min="9497" max="9497" width="0" style="110" hidden="1" customWidth="1"/>
    <col min="9498" max="9498" width="4.625" style="110" customWidth="1"/>
    <col min="9499" max="9499" width="4.75" style="110" customWidth="1"/>
    <col min="9500" max="9500" width="23.875" style="110" customWidth="1"/>
    <col min="9501" max="9501" width="11" style="110" customWidth="1"/>
    <col min="9502" max="9502" width="25.25" style="110" customWidth="1"/>
    <col min="9503" max="9749" width="9.125" style="110"/>
    <col min="9750" max="9750" width="4.375" style="110" customWidth="1"/>
    <col min="9751" max="9751" width="27" style="110" customWidth="1"/>
    <col min="9752" max="9752" width="26" style="110" customWidth="1"/>
    <col min="9753" max="9753" width="0" style="110" hidden="1" customWidth="1"/>
    <col min="9754" max="9754" width="4.625" style="110" customWidth="1"/>
    <col min="9755" max="9755" width="4.75" style="110" customWidth="1"/>
    <col min="9756" max="9756" width="23.875" style="110" customWidth="1"/>
    <col min="9757" max="9757" width="11" style="110" customWidth="1"/>
    <col min="9758" max="9758" width="25.25" style="110" customWidth="1"/>
    <col min="9759" max="10005" width="9.125" style="110"/>
    <col min="10006" max="10006" width="4.375" style="110" customWidth="1"/>
    <col min="10007" max="10007" width="27" style="110" customWidth="1"/>
    <col min="10008" max="10008" width="26" style="110" customWidth="1"/>
    <col min="10009" max="10009" width="0" style="110" hidden="1" customWidth="1"/>
    <col min="10010" max="10010" width="4.625" style="110" customWidth="1"/>
    <col min="10011" max="10011" width="4.75" style="110" customWidth="1"/>
    <col min="10012" max="10012" width="23.875" style="110" customWidth="1"/>
    <col min="10013" max="10013" width="11" style="110" customWidth="1"/>
    <col min="10014" max="10014" width="25.25" style="110" customWidth="1"/>
    <col min="10015" max="10261" width="9.125" style="110"/>
    <col min="10262" max="10262" width="4.375" style="110" customWidth="1"/>
    <col min="10263" max="10263" width="27" style="110" customWidth="1"/>
    <col min="10264" max="10264" width="26" style="110" customWidth="1"/>
    <col min="10265" max="10265" width="0" style="110" hidden="1" customWidth="1"/>
    <col min="10266" max="10266" width="4.625" style="110" customWidth="1"/>
    <col min="10267" max="10267" width="4.75" style="110" customWidth="1"/>
    <col min="10268" max="10268" width="23.875" style="110" customWidth="1"/>
    <col min="10269" max="10269" width="11" style="110" customWidth="1"/>
    <col min="10270" max="10270" width="25.25" style="110" customWidth="1"/>
    <col min="10271" max="10517" width="9.125" style="110"/>
    <col min="10518" max="10518" width="4.375" style="110" customWidth="1"/>
    <col min="10519" max="10519" width="27" style="110" customWidth="1"/>
    <col min="10520" max="10520" width="26" style="110" customWidth="1"/>
    <col min="10521" max="10521" width="0" style="110" hidden="1" customWidth="1"/>
    <col min="10522" max="10522" width="4.625" style="110" customWidth="1"/>
    <col min="10523" max="10523" width="4.75" style="110" customWidth="1"/>
    <col min="10524" max="10524" width="23.875" style="110" customWidth="1"/>
    <col min="10525" max="10525" width="11" style="110" customWidth="1"/>
    <col min="10526" max="10526" width="25.25" style="110" customWidth="1"/>
    <col min="10527" max="10773" width="9.125" style="110"/>
    <col min="10774" max="10774" width="4.375" style="110" customWidth="1"/>
    <col min="10775" max="10775" width="27" style="110" customWidth="1"/>
    <col min="10776" max="10776" width="26" style="110" customWidth="1"/>
    <col min="10777" max="10777" width="0" style="110" hidden="1" customWidth="1"/>
    <col min="10778" max="10778" width="4.625" style="110" customWidth="1"/>
    <col min="10779" max="10779" width="4.75" style="110" customWidth="1"/>
    <col min="10780" max="10780" width="23.875" style="110" customWidth="1"/>
    <col min="10781" max="10781" width="11" style="110" customWidth="1"/>
    <col min="10782" max="10782" width="25.25" style="110" customWidth="1"/>
    <col min="10783" max="11029" width="9.125" style="110"/>
    <col min="11030" max="11030" width="4.375" style="110" customWidth="1"/>
    <col min="11031" max="11031" width="27" style="110" customWidth="1"/>
    <col min="11032" max="11032" width="26" style="110" customWidth="1"/>
    <col min="11033" max="11033" width="0" style="110" hidden="1" customWidth="1"/>
    <col min="11034" max="11034" width="4.625" style="110" customWidth="1"/>
    <col min="11035" max="11035" width="4.75" style="110" customWidth="1"/>
    <col min="11036" max="11036" width="23.875" style="110" customWidth="1"/>
    <col min="11037" max="11037" width="11" style="110" customWidth="1"/>
    <col min="11038" max="11038" width="25.25" style="110" customWidth="1"/>
    <col min="11039" max="11285" width="9.125" style="110"/>
    <col min="11286" max="11286" width="4.375" style="110" customWidth="1"/>
    <col min="11287" max="11287" width="27" style="110" customWidth="1"/>
    <col min="11288" max="11288" width="26" style="110" customWidth="1"/>
    <col min="11289" max="11289" width="0" style="110" hidden="1" customWidth="1"/>
    <col min="11290" max="11290" width="4.625" style="110" customWidth="1"/>
    <col min="11291" max="11291" width="4.75" style="110" customWidth="1"/>
    <col min="11292" max="11292" width="23.875" style="110" customWidth="1"/>
    <col min="11293" max="11293" width="11" style="110" customWidth="1"/>
    <col min="11294" max="11294" width="25.25" style="110" customWidth="1"/>
    <col min="11295" max="11541" width="9.125" style="110"/>
    <col min="11542" max="11542" width="4.375" style="110" customWidth="1"/>
    <col min="11543" max="11543" width="27" style="110" customWidth="1"/>
    <col min="11544" max="11544" width="26" style="110" customWidth="1"/>
    <col min="11545" max="11545" width="0" style="110" hidden="1" customWidth="1"/>
    <col min="11546" max="11546" width="4.625" style="110" customWidth="1"/>
    <col min="11547" max="11547" width="4.75" style="110" customWidth="1"/>
    <col min="11548" max="11548" width="23.875" style="110" customWidth="1"/>
    <col min="11549" max="11549" width="11" style="110" customWidth="1"/>
    <col min="11550" max="11550" width="25.25" style="110" customWidth="1"/>
    <col min="11551" max="11797" width="9.125" style="110"/>
    <col min="11798" max="11798" width="4.375" style="110" customWidth="1"/>
    <col min="11799" max="11799" width="27" style="110" customWidth="1"/>
    <col min="11800" max="11800" width="26" style="110" customWidth="1"/>
    <col min="11801" max="11801" width="0" style="110" hidden="1" customWidth="1"/>
    <col min="11802" max="11802" width="4.625" style="110" customWidth="1"/>
    <col min="11803" max="11803" width="4.75" style="110" customWidth="1"/>
    <col min="11804" max="11804" width="23.875" style="110" customWidth="1"/>
    <col min="11805" max="11805" width="11" style="110" customWidth="1"/>
    <col min="11806" max="11806" width="25.25" style="110" customWidth="1"/>
    <col min="11807" max="12053" width="9.125" style="110"/>
    <col min="12054" max="12054" width="4.375" style="110" customWidth="1"/>
    <col min="12055" max="12055" width="27" style="110" customWidth="1"/>
    <col min="12056" max="12056" width="26" style="110" customWidth="1"/>
    <col min="12057" max="12057" width="0" style="110" hidden="1" customWidth="1"/>
    <col min="12058" max="12058" width="4.625" style="110" customWidth="1"/>
    <col min="12059" max="12059" width="4.75" style="110" customWidth="1"/>
    <col min="12060" max="12060" width="23.875" style="110" customWidth="1"/>
    <col min="12061" max="12061" width="11" style="110" customWidth="1"/>
    <col min="12062" max="12062" width="25.25" style="110" customWidth="1"/>
    <col min="12063" max="12309" width="9.125" style="110"/>
    <col min="12310" max="12310" width="4.375" style="110" customWidth="1"/>
    <col min="12311" max="12311" width="27" style="110" customWidth="1"/>
    <col min="12312" max="12312" width="26" style="110" customWidth="1"/>
    <col min="12313" max="12313" width="0" style="110" hidden="1" customWidth="1"/>
    <col min="12314" max="12314" width="4.625" style="110" customWidth="1"/>
    <col min="12315" max="12315" width="4.75" style="110" customWidth="1"/>
    <col min="12316" max="12316" width="23.875" style="110" customWidth="1"/>
    <col min="12317" max="12317" width="11" style="110" customWidth="1"/>
    <col min="12318" max="12318" width="25.25" style="110" customWidth="1"/>
    <col min="12319" max="12565" width="9.125" style="110"/>
    <col min="12566" max="12566" width="4.375" style="110" customWidth="1"/>
    <col min="12567" max="12567" width="27" style="110" customWidth="1"/>
    <col min="12568" max="12568" width="26" style="110" customWidth="1"/>
    <col min="12569" max="12569" width="0" style="110" hidden="1" customWidth="1"/>
    <col min="12570" max="12570" width="4.625" style="110" customWidth="1"/>
    <col min="12571" max="12571" width="4.75" style="110" customWidth="1"/>
    <col min="12572" max="12572" width="23.875" style="110" customWidth="1"/>
    <col min="12573" max="12573" width="11" style="110" customWidth="1"/>
    <col min="12574" max="12574" width="25.25" style="110" customWidth="1"/>
    <col min="12575" max="12821" width="9.125" style="110"/>
    <col min="12822" max="12822" width="4.375" style="110" customWidth="1"/>
    <col min="12823" max="12823" width="27" style="110" customWidth="1"/>
    <col min="12824" max="12824" width="26" style="110" customWidth="1"/>
    <col min="12825" max="12825" width="0" style="110" hidden="1" customWidth="1"/>
    <col min="12826" max="12826" width="4.625" style="110" customWidth="1"/>
    <col min="12827" max="12827" width="4.75" style="110" customWidth="1"/>
    <col min="12828" max="12828" width="23.875" style="110" customWidth="1"/>
    <col min="12829" max="12829" width="11" style="110" customWidth="1"/>
    <col min="12830" max="12830" width="25.25" style="110" customWidth="1"/>
    <col min="12831" max="13077" width="9.125" style="110"/>
    <col min="13078" max="13078" width="4.375" style="110" customWidth="1"/>
    <col min="13079" max="13079" width="27" style="110" customWidth="1"/>
    <col min="13080" max="13080" width="26" style="110" customWidth="1"/>
    <col min="13081" max="13081" width="0" style="110" hidden="1" customWidth="1"/>
    <col min="13082" max="13082" width="4.625" style="110" customWidth="1"/>
    <col min="13083" max="13083" width="4.75" style="110" customWidth="1"/>
    <col min="13084" max="13084" width="23.875" style="110" customWidth="1"/>
    <col min="13085" max="13085" width="11" style="110" customWidth="1"/>
    <col min="13086" max="13086" width="25.25" style="110" customWidth="1"/>
    <col min="13087" max="13333" width="9.125" style="110"/>
    <col min="13334" max="13334" width="4.375" style="110" customWidth="1"/>
    <col min="13335" max="13335" width="27" style="110" customWidth="1"/>
    <col min="13336" max="13336" width="26" style="110" customWidth="1"/>
    <col min="13337" max="13337" width="0" style="110" hidden="1" customWidth="1"/>
    <col min="13338" max="13338" width="4.625" style="110" customWidth="1"/>
    <col min="13339" max="13339" width="4.75" style="110" customWidth="1"/>
    <col min="13340" max="13340" width="23.875" style="110" customWidth="1"/>
    <col min="13341" max="13341" width="11" style="110" customWidth="1"/>
    <col min="13342" max="13342" width="25.25" style="110" customWidth="1"/>
    <col min="13343" max="13589" width="9.125" style="110"/>
    <col min="13590" max="13590" width="4.375" style="110" customWidth="1"/>
    <col min="13591" max="13591" width="27" style="110" customWidth="1"/>
    <col min="13592" max="13592" width="26" style="110" customWidth="1"/>
    <col min="13593" max="13593" width="0" style="110" hidden="1" customWidth="1"/>
    <col min="13594" max="13594" width="4.625" style="110" customWidth="1"/>
    <col min="13595" max="13595" width="4.75" style="110" customWidth="1"/>
    <col min="13596" max="13596" width="23.875" style="110" customWidth="1"/>
    <col min="13597" max="13597" width="11" style="110" customWidth="1"/>
    <col min="13598" max="13598" width="25.25" style="110" customWidth="1"/>
    <col min="13599" max="13845" width="9.125" style="110"/>
    <col min="13846" max="13846" width="4.375" style="110" customWidth="1"/>
    <col min="13847" max="13847" width="27" style="110" customWidth="1"/>
    <col min="13848" max="13848" width="26" style="110" customWidth="1"/>
    <col min="13849" max="13849" width="0" style="110" hidden="1" customWidth="1"/>
    <col min="13850" max="13850" width="4.625" style="110" customWidth="1"/>
    <col min="13851" max="13851" width="4.75" style="110" customWidth="1"/>
    <col min="13852" max="13852" width="23.875" style="110" customWidth="1"/>
    <col min="13853" max="13853" width="11" style="110" customWidth="1"/>
    <col min="13854" max="13854" width="25.25" style="110" customWidth="1"/>
    <col min="13855" max="14101" width="9.125" style="110"/>
    <col min="14102" max="14102" width="4.375" style="110" customWidth="1"/>
    <col min="14103" max="14103" width="27" style="110" customWidth="1"/>
    <col min="14104" max="14104" width="26" style="110" customWidth="1"/>
    <col min="14105" max="14105" width="0" style="110" hidden="1" customWidth="1"/>
    <col min="14106" max="14106" width="4.625" style="110" customWidth="1"/>
    <col min="14107" max="14107" width="4.75" style="110" customWidth="1"/>
    <col min="14108" max="14108" width="23.875" style="110" customWidth="1"/>
    <col min="14109" max="14109" width="11" style="110" customWidth="1"/>
    <col min="14110" max="14110" width="25.25" style="110" customWidth="1"/>
    <col min="14111" max="14357" width="9.125" style="110"/>
    <col min="14358" max="14358" width="4.375" style="110" customWidth="1"/>
    <col min="14359" max="14359" width="27" style="110" customWidth="1"/>
    <col min="14360" max="14360" width="26" style="110" customWidth="1"/>
    <col min="14361" max="14361" width="0" style="110" hidden="1" customWidth="1"/>
    <col min="14362" max="14362" width="4.625" style="110" customWidth="1"/>
    <col min="14363" max="14363" width="4.75" style="110" customWidth="1"/>
    <col min="14364" max="14364" width="23.875" style="110" customWidth="1"/>
    <col min="14365" max="14365" width="11" style="110" customWidth="1"/>
    <col min="14366" max="14366" width="25.25" style="110" customWidth="1"/>
    <col min="14367" max="14613" width="9.125" style="110"/>
    <col min="14614" max="14614" width="4.375" style="110" customWidth="1"/>
    <col min="14615" max="14615" width="27" style="110" customWidth="1"/>
    <col min="14616" max="14616" width="26" style="110" customWidth="1"/>
    <col min="14617" max="14617" width="0" style="110" hidden="1" customWidth="1"/>
    <col min="14618" max="14618" width="4.625" style="110" customWidth="1"/>
    <col min="14619" max="14619" width="4.75" style="110" customWidth="1"/>
    <col min="14620" max="14620" width="23.875" style="110" customWidth="1"/>
    <col min="14621" max="14621" width="11" style="110" customWidth="1"/>
    <col min="14622" max="14622" width="25.25" style="110" customWidth="1"/>
    <col min="14623" max="14869" width="9.125" style="110"/>
    <col min="14870" max="14870" width="4.375" style="110" customWidth="1"/>
    <col min="14871" max="14871" width="27" style="110" customWidth="1"/>
    <col min="14872" max="14872" width="26" style="110" customWidth="1"/>
    <col min="14873" max="14873" width="0" style="110" hidden="1" customWidth="1"/>
    <col min="14874" max="14874" width="4.625" style="110" customWidth="1"/>
    <col min="14875" max="14875" width="4.75" style="110" customWidth="1"/>
    <col min="14876" max="14876" width="23.875" style="110" customWidth="1"/>
    <col min="14877" max="14877" width="11" style="110" customWidth="1"/>
    <col min="14878" max="14878" width="25.25" style="110" customWidth="1"/>
    <col min="14879" max="15125" width="9.125" style="110"/>
    <col min="15126" max="15126" width="4.375" style="110" customWidth="1"/>
    <col min="15127" max="15127" width="27" style="110" customWidth="1"/>
    <col min="15128" max="15128" width="26" style="110" customWidth="1"/>
    <col min="15129" max="15129" width="0" style="110" hidden="1" customWidth="1"/>
    <col min="15130" max="15130" width="4.625" style="110" customWidth="1"/>
    <col min="15131" max="15131" width="4.75" style="110" customWidth="1"/>
    <col min="15132" max="15132" width="23.875" style="110" customWidth="1"/>
    <col min="15133" max="15133" width="11" style="110" customWidth="1"/>
    <col min="15134" max="15134" width="25.25" style="110" customWidth="1"/>
    <col min="15135" max="15381" width="9.125" style="110"/>
    <col min="15382" max="15382" width="4.375" style="110" customWidth="1"/>
    <col min="15383" max="15383" width="27" style="110" customWidth="1"/>
    <col min="15384" max="15384" width="26" style="110" customWidth="1"/>
    <col min="15385" max="15385" width="0" style="110" hidden="1" customWidth="1"/>
    <col min="15386" max="15386" width="4.625" style="110" customWidth="1"/>
    <col min="15387" max="15387" width="4.75" style="110" customWidth="1"/>
    <col min="15388" max="15388" width="23.875" style="110" customWidth="1"/>
    <col min="15389" max="15389" width="11" style="110" customWidth="1"/>
    <col min="15390" max="15390" width="25.25" style="110" customWidth="1"/>
    <col min="15391" max="15637" width="9.125" style="110"/>
    <col min="15638" max="15638" width="4.375" style="110" customWidth="1"/>
    <col min="15639" max="15639" width="27" style="110" customWidth="1"/>
    <col min="15640" max="15640" width="26" style="110" customWidth="1"/>
    <col min="15641" max="15641" width="0" style="110" hidden="1" customWidth="1"/>
    <col min="15642" max="15642" width="4.625" style="110" customWidth="1"/>
    <col min="15643" max="15643" width="4.75" style="110" customWidth="1"/>
    <col min="15644" max="15644" width="23.875" style="110" customWidth="1"/>
    <col min="15645" max="15645" width="11" style="110" customWidth="1"/>
    <col min="15646" max="15646" width="25.25" style="110" customWidth="1"/>
    <col min="15647" max="15893" width="9.125" style="110"/>
    <col min="15894" max="15894" width="4.375" style="110" customWidth="1"/>
    <col min="15895" max="15895" width="27" style="110" customWidth="1"/>
    <col min="15896" max="15896" width="26" style="110" customWidth="1"/>
    <col min="15897" max="15897" width="0" style="110" hidden="1" customWidth="1"/>
    <col min="15898" max="15898" width="4.625" style="110" customWidth="1"/>
    <col min="15899" max="15899" width="4.75" style="110" customWidth="1"/>
    <col min="15900" max="15900" width="23.875" style="110" customWidth="1"/>
    <col min="15901" max="15901" width="11" style="110" customWidth="1"/>
    <col min="15902" max="15902" width="25.25" style="110" customWidth="1"/>
    <col min="15903" max="16149" width="9.125" style="110"/>
    <col min="16150" max="16150" width="4.375" style="110" customWidth="1"/>
    <col min="16151" max="16151" width="27" style="110" customWidth="1"/>
    <col min="16152" max="16152" width="26" style="110" customWidth="1"/>
    <col min="16153" max="16153" width="0" style="110" hidden="1" customWidth="1"/>
    <col min="16154" max="16154" width="4.625" style="110" customWidth="1"/>
    <col min="16155" max="16155" width="4.75" style="110" customWidth="1"/>
    <col min="16156" max="16156" width="23.875" style="110" customWidth="1"/>
    <col min="16157" max="16157" width="11" style="110" customWidth="1"/>
    <col min="16158" max="16158" width="25.25" style="110" customWidth="1"/>
    <col min="16159" max="16384" width="9.125" style="110"/>
  </cols>
  <sheetData>
    <row r="1" spans="1:39" s="1" customFormat="1" x14ac:dyDescent="0.2">
      <c r="A1" s="134" t="s">
        <v>0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</row>
    <row r="2" spans="1:39" s="1" customFormat="1" x14ac:dyDescent="0.2">
      <c r="A2" s="134" t="s">
        <v>1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</row>
    <row r="3" spans="1:39" s="1" customFormat="1" x14ac:dyDescent="0.2">
      <c r="A3" s="134" t="s">
        <v>2</v>
      </c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4"/>
      <c r="V3" s="134"/>
      <c r="W3" s="134"/>
      <c r="X3" s="134"/>
      <c r="Y3" s="134"/>
      <c r="Z3" s="134"/>
      <c r="AA3" s="134"/>
      <c r="AB3" s="134"/>
      <c r="AC3" s="134"/>
      <c r="AD3" s="134"/>
      <c r="AE3" s="134"/>
      <c r="AF3" s="134"/>
      <c r="AG3" s="134"/>
      <c r="AH3" s="134"/>
    </row>
    <row r="4" spans="1:39" s="1" customFormat="1" ht="19.5" thickBot="1" x14ac:dyDescent="0.25">
      <c r="A4" s="141"/>
      <c r="B4" s="141"/>
      <c r="C4" s="141"/>
      <c r="D4" s="141"/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5"/>
      <c r="AE4" s="115"/>
      <c r="AF4" s="115"/>
      <c r="AG4" s="115"/>
      <c r="AH4" s="115"/>
    </row>
    <row r="5" spans="1:39" s="1" customFormat="1" ht="22.5" thickTop="1" x14ac:dyDescent="0.2">
      <c r="A5" s="142" t="s">
        <v>3</v>
      </c>
      <c r="B5" s="116"/>
      <c r="C5" s="143" t="s">
        <v>4</v>
      </c>
      <c r="D5" s="118"/>
      <c r="E5" s="143" t="s">
        <v>5</v>
      </c>
      <c r="F5" s="136" t="s">
        <v>302</v>
      </c>
      <c r="G5" s="143" t="s">
        <v>6</v>
      </c>
      <c r="H5" s="116"/>
      <c r="I5" s="116" t="s">
        <v>7</v>
      </c>
      <c r="J5" s="139" t="s">
        <v>8</v>
      </c>
      <c r="K5" s="139" t="s">
        <v>9</v>
      </c>
      <c r="L5" s="106"/>
      <c r="M5" s="106"/>
      <c r="N5" s="131">
        <f>section!N5</f>
        <v>2559</v>
      </c>
      <c r="O5" s="132"/>
      <c r="P5" s="132"/>
      <c r="Q5" s="132"/>
      <c r="R5" s="132"/>
      <c r="S5" s="132"/>
      <c r="T5" s="133"/>
      <c r="U5" s="131">
        <f>section!U5</f>
        <v>2560</v>
      </c>
      <c r="V5" s="132"/>
      <c r="W5" s="132"/>
      <c r="X5" s="132"/>
      <c r="Y5" s="132"/>
      <c r="Z5" s="132"/>
      <c r="AA5" s="133"/>
      <c r="AB5" s="131">
        <f>section!AB5</f>
        <v>2561</v>
      </c>
      <c r="AC5" s="132"/>
      <c r="AD5" s="132"/>
      <c r="AE5" s="132"/>
      <c r="AF5" s="132"/>
      <c r="AG5" s="132"/>
      <c r="AH5" s="133"/>
    </row>
    <row r="6" spans="1:39" s="1" customFormat="1" ht="22.5" thickBot="1" x14ac:dyDescent="0.25">
      <c r="A6" s="142"/>
      <c r="B6" s="116"/>
      <c r="C6" s="143"/>
      <c r="D6" s="118"/>
      <c r="E6" s="143"/>
      <c r="F6" s="138"/>
      <c r="G6" s="144"/>
      <c r="H6" s="117"/>
      <c r="I6" s="117"/>
      <c r="J6" s="140"/>
      <c r="K6" s="140"/>
      <c r="L6" s="117" t="s">
        <v>10</v>
      </c>
      <c r="M6" s="117" t="s">
        <v>11</v>
      </c>
      <c r="N6" s="8" t="s">
        <v>12</v>
      </c>
      <c r="O6" s="9" t="s">
        <v>13</v>
      </c>
      <c r="P6" s="9" t="s">
        <v>14</v>
      </c>
      <c r="Q6" s="9" t="s">
        <v>15</v>
      </c>
      <c r="R6" s="9" t="s">
        <v>16</v>
      </c>
      <c r="S6" s="9" t="s">
        <v>17</v>
      </c>
      <c r="T6" s="10" t="s">
        <v>18</v>
      </c>
      <c r="U6" s="8" t="s">
        <v>12</v>
      </c>
      <c r="V6" s="9" t="s">
        <v>13</v>
      </c>
      <c r="W6" s="9" t="s">
        <v>14</v>
      </c>
      <c r="X6" s="9" t="s">
        <v>15</v>
      </c>
      <c r="Y6" s="9" t="s">
        <v>16</v>
      </c>
      <c r="Z6" s="9" t="s">
        <v>17</v>
      </c>
      <c r="AA6" s="10" t="s">
        <v>18</v>
      </c>
      <c r="AB6" s="8" t="s">
        <v>12</v>
      </c>
      <c r="AC6" s="9" t="s">
        <v>13</v>
      </c>
      <c r="AD6" s="9" t="s">
        <v>14</v>
      </c>
      <c r="AE6" s="9" t="s">
        <v>15</v>
      </c>
      <c r="AF6" s="9" t="s">
        <v>16</v>
      </c>
      <c r="AG6" s="9" t="s">
        <v>17</v>
      </c>
      <c r="AH6" s="10" t="s">
        <v>18</v>
      </c>
      <c r="AJ6" s="1" t="s">
        <v>303</v>
      </c>
      <c r="AL6" s="1" t="s">
        <v>304</v>
      </c>
    </row>
    <row r="7" spans="1:39" ht="19.5" thickTop="1" x14ac:dyDescent="0.3">
      <c r="F7" s="61"/>
      <c r="N7" s="21"/>
      <c r="O7" s="22"/>
      <c r="P7" s="22"/>
      <c r="Q7" s="22"/>
      <c r="R7" s="22"/>
      <c r="S7" s="22"/>
      <c r="T7" s="122"/>
      <c r="U7" s="21"/>
      <c r="V7" s="22"/>
      <c r="W7" s="22"/>
      <c r="X7" s="22"/>
      <c r="Y7" s="22"/>
      <c r="Z7" s="22"/>
      <c r="AA7" s="122"/>
      <c r="AB7" s="21"/>
      <c r="AC7" s="22"/>
      <c r="AD7" s="22"/>
      <c r="AE7" s="22"/>
      <c r="AF7" s="22"/>
      <c r="AG7" s="22"/>
      <c r="AH7" s="7"/>
      <c r="AI7" s="110" t="str">
        <f>IF(F7&lt;&gt;0,F7,"")</f>
        <v/>
      </c>
      <c r="AJ7" s="110" t="str">
        <f>IF(SUM(N7:AH7)&gt;0,SUM(N7:AH7),"")</f>
        <v/>
      </c>
      <c r="AK7" s="110" t="str">
        <f>IF(F7&lt;&gt;0,F7,"")</f>
        <v/>
      </c>
      <c r="AL7" s="110" t="str">
        <f>IF(COUNTA(N7:AH7)&gt;0,COUNTA(N7:AH7),"")</f>
        <v/>
      </c>
      <c r="AM7" s="123"/>
    </row>
    <row r="8" spans="1:39" ht="18.75" x14ac:dyDescent="0.3">
      <c r="F8" s="65"/>
      <c r="N8" s="16"/>
      <c r="O8" s="17"/>
      <c r="P8" s="17"/>
      <c r="Q8" s="17"/>
      <c r="R8" s="17"/>
      <c r="S8" s="17"/>
      <c r="T8" s="18"/>
      <c r="U8" s="16"/>
      <c r="V8" s="17"/>
      <c r="W8" s="17"/>
      <c r="X8" s="17"/>
      <c r="Y8" s="17"/>
      <c r="Z8" s="17"/>
      <c r="AA8" s="18"/>
      <c r="AB8" s="16"/>
      <c r="AC8" s="17"/>
      <c r="AD8" s="17"/>
      <c r="AE8" s="17"/>
      <c r="AF8" s="17"/>
      <c r="AG8" s="17"/>
      <c r="AH8" s="19"/>
      <c r="AI8" s="110" t="str">
        <f t="shared" ref="AI8:AI71" si="0">IF(F8&lt;&gt;0,F8,"")</f>
        <v/>
      </c>
      <c r="AJ8" s="110" t="str">
        <f t="shared" ref="AJ8:AJ71" si="1">IF(SUM(N8:AH8)&gt;0,SUM(N8:AH8),"")</f>
        <v/>
      </c>
      <c r="AK8" s="110" t="str">
        <f t="shared" ref="AK8:AK71" si="2">IF(F8&lt;&gt;0,F8,"")</f>
        <v/>
      </c>
      <c r="AL8" s="110" t="str">
        <f t="shared" ref="AL8:AL71" si="3">IF(COUNTA(N8:AH8)&gt;0,COUNTA(N8:AH8),"")</f>
        <v/>
      </c>
    </row>
    <row r="9" spans="1:39" ht="18.75" x14ac:dyDescent="0.3">
      <c r="F9" s="65"/>
      <c r="N9" s="21"/>
      <c r="O9" s="22"/>
      <c r="P9" s="22"/>
      <c r="Q9" s="22"/>
      <c r="R9" s="22"/>
      <c r="S9" s="22"/>
      <c r="T9" s="122"/>
      <c r="U9" s="21"/>
      <c r="V9" s="22"/>
      <c r="W9" s="22"/>
      <c r="X9" s="22"/>
      <c r="Y9" s="22"/>
      <c r="Z9" s="22"/>
      <c r="AA9" s="122"/>
      <c r="AB9" s="21"/>
      <c r="AC9" s="22"/>
      <c r="AD9" s="22"/>
      <c r="AE9" s="22"/>
      <c r="AF9" s="22"/>
      <c r="AG9" s="22"/>
      <c r="AH9" s="7"/>
      <c r="AI9" s="110" t="str">
        <f t="shared" si="0"/>
        <v/>
      </c>
      <c r="AJ9" s="110" t="str">
        <f t="shared" si="1"/>
        <v/>
      </c>
      <c r="AK9" s="110" t="str">
        <f t="shared" si="2"/>
        <v/>
      </c>
      <c r="AL9" s="110" t="str">
        <f t="shared" si="3"/>
        <v/>
      </c>
    </row>
    <row r="10" spans="1:39" ht="18.75" x14ac:dyDescent="0.3">
      <c r="F10" s="65"/>
      <c r="N10" s="21"/>
      <c r="O10" s="22"/>
      <c r="P10" s="22"/>
      <c r="Q10" s="22"/>
      <c r="R10" s="22"/>
      <c r="S10" s="22"/>
      <c r="T10" s="122"/>
      <c r="U10" s="21"/>
      <c r="V10" s="22"/>
      <c r="W10" s="22"/>
      <c r="X10" s="22"/>
      <c r="Y10" s="22"/>
      <c r="Z10" s="22"/>
      <c r="AA10" s="122"/>
      <c r="AB10" s="21"/>
      <c r="AC10" s="22"/>
      <c r="AD10" s="22"/>
      <c r="AE10" s="22"/>
      <c r="AF10" s="22"/>
      <c r="AG10" s="22"/>
      <c r="AH10" s="7"/>
      <c r="AI10" s="110" t="str">
        <f t="shared" si="0"/>
        <v/>
      </c>
      <c r="AJ10" s="110" t="str">
        <f t="shared" si="1"/>
        <v/>
      </c>
      <c r="AK10" s="110" t="str">
        <f t="shared" si="2"/>
        <v/>
      </c>
      <c r="AL10" s="110" t="str">
        <f t="shared" si="3"/>
        <v/>
      </c>
    </row>
    <row r="11" spans="1:39" ht="19.5" thickBot="1" x14ac:dyDescent="0.25">
      <c r="F11" s="70"/>
      <c r="N11" s="26"/>
      <c r="O11" s="27"/>
      <c r="P11" s="27"/>
      <c r="Q11" s="27"/>
      <c r="R11" s="27"/>
      <c r="S11" s="27"/>
      <c r="T11" s="3"/>
      <c r="U11" s="26"/>
      <c r="V11" s="27"/>
      <c r="W11" s="27"/>
      <c r="X11" s="27"/>
      <c r="Y11" s="27"/>
      <c r="Z11" s="27"/>
      <c r="AA11" s="3"/>
      <c r="AB11" s="26"/>
      <c r="AC11" s="27"/>
      <c r="AD11" s="27"/>
      <c r="AE11" s="27"/>
      <c r="AF11" s="27"/>
      <c r="AG11" s="27"/>
      <c r="AH11" s="28"/>
      <c r="AI11" s="110" t="str">
        <f t="shared" si="0"/>
        <v/>
      </c>
      <c r="AJ11" s="110" t="str">
        <f t="shared" si="1"/>
        <v/>
      </c>
      <c r="AK11" s="110" t="str">
        <f t="shared" si="2"/>
        <v/>
      </c>
      <c r="AL11" s="110" t="str">
        <f t="shared" si="3"/>
        <v/>
      </c>
    </row>
    <row r="12" spans="1:39" ht="21" customHeight="1" thickTop="1" x14ac:dyDescent="0.2">
      <c r="F12" s="64"/>
      <c r="N12" s="21"/>
      <c r="O12" s="22"/>
      <c r="P12" s="22"/>
      <c r="Q12" s="22"/>
      <c r="R12" s="22"/>
      <c r="S12" s="22"/>
      <c r="T12" s="122"/>
      <c r="U12" s="21"/>
      <c r="V12" s="22"/>
      <c r="W12" s="22"/>
      <c r="X12" s="22"/>
      <c r="Y12" s="22"/>
      <c r="Z12" s="22"/>
      <c r="AA12" s="122"/>
      <c r="AB12" s="21"/>
      <c r="AC12" s="22"/>
      <c r="AD12" s="22"/>
      <c r="AE12" s="22"/>
      <c r="AF12" s="22"/>
      <c r="AG12" s="22"/>
      <c r="AH12" s="7"/>
      <c r="AI12" s="110" t="str">
        <f t="shared" si="0"/>
        <v/>
      </c>
      <c r="AJ12" s="110" t="str">
        <f t="shared" si="1"/>
        <v/>
      </c>
      <c r="AK12" s="110" t="str">
        <f t="shared" si="2"/>
        <v/>
      </c>
      <c r="AL12" s="110" t="str">
        <f t="shared" si="3"/>
        <v/>
      </c>
    </row>
    <row r="13" spans="1:39" ht="18.75" x14ac:dyDescent="0.2">
      <c r="F13" s="64"/>
      <c r="N13" s="34"/>
      <c r="O13" s="35"/>
      <c r="P13" s="35"/>
      <c r="Q13" s="35"/>
      <c r="R13" s="35"/>
      <c r="S13" s="35"/>
      <c r="T13" s="36"/>
      <c r="U13" s="34"/>
      <c r="V13" s="35"/>
      <c r="W13" s="35"/>
      <c r="X13" s="35"/>
      <c r="Y13" s="35"/>
      <c r="Z13" s="35"/>
      <c r="AA13" s="36"/>
      <c r="AB13" s="34"/>
      <c r="AC13" s="35"/>
      <c r="AD13" s="35"/>
      <c r="AE13" s="35"/>
      <c r="AF13" s="35"/>
      <c r="AG13" s="35"/>
      <c r="AH13" s="37"/>
      <c r="AI13" s="110" t="str">
        <f t="shared" si="0"/>
        <v/>
      </c>
      <c r="AJ13" s="110" t="str">
        <f t="shared" si="1"/>
        <v/>
      </c>
      <c r="AK13" s="110" t="str">
        <f t="shared" si="2"/>
        <v/>
      </c>
      <c r="AL13" s="110" t="str">
        <f t="shared" si="3"/>
        <v/>
      </c>
    </row>
    <row r="14" spans="1:39" ht="19.5" thickBot="1" x14ac:dyDescent="0.35">
      <c r="F14" s="83"/>
      <c r="N14" s="26"/>
      <c r="O14" s="27"/>
      <c r="P14" s="27"/>
      <c r="Q14" s="27"/>
      <c r="R14" s="27"/>
      <c r="S14" s="27"/>
      <c r="T14" s="3"/>
      <c r="U14" s="26"/>
      <c r="V14" s="27"/>
      <c r="W14" s="27"/>
      <c r="X14" s="27"/>
      <c r="Y14" s="27"/>
      <c r="Z14" s="27"/>
      <c r="AA14" s="3"/>
      <c r="AB14" s="26"/>
      <c r="AC14" s="27"/>
      <c r="AD14" s="27"/>
      <c r="AE14" s="27"/>
      <c r="AF14" s="27"/>
      <c r="AG14" s="27"/>
      <c r="AH14" s="28"/>
      <c r="AI14" s="110" t="str">
        <f t="shared" si="0"/>
        <v/>
      </c>
      <c r="AJ14" s="110" t="str">
        <f t="shared" si="1"/>
        <v/>
      </c>
      <c r="AK14" s="110" t="str">
        <f t="shared" si="2"/>
        <v/>
      </c>
      <c r="AL14" s="110" t="str">
        <f t="shared" si="3"/>
        <v/>
      </c>
    </row>
    <row r="15" spans="1:39" ht="19.5" thickTop="1" x14ac:dyDescent="0.2">
      <c r="F15" s="86"/>
      <c r="N15" s="21"/>
      <c r="O15" s="22"/>
      <c r="P15" s="22"/>
      <c r="Q15" s="22"/>
      <c r="R15" s="22"/>
      <c r="S15" s="22"/>
      <c r="T15" s="122"/>
      <c r="U15" s="21"/>
      <c r="V15" s="22"/>
      <c r="W15" s="22"/>
      <c r="X15" s="22"/>
      <c r="Y15" s="22"/>
      <c r="Z15" s="22"/>
      <c r="AA15" s="122"/>
      <c r="AB15" s="21"/>
      <c r="AC15" s="22"/>
      <c r="AD15" s="22"/>
      <c r="AE15" s="22"/>
      <c r="AF15" s="22"/>
      <c r="AG15" s="22"/>
      <c r="AH15" s="7"/>
      <c r="AI15" s="110" t="str">
        <f t="shared" si="0"/>
        <v/>
      </c>
      <c r="AJ15" s="110" t="str">
        <f t="shared" si="1"/>
        <v/>
      </c>
      <c r="AK15" s="110" t="str">
        <f t="shared" si="2"/>
        <v/>
      </c>
      <c r="AL15" s="110" t="str">
        <f t="shared" si="3"/>
        <v/>
      </c>
    </row>
    <row r="16" spans="1:39" ht="18.75" x14ac:dyDescent="0.2">
      <c r="F16" s="86"/>
      <c r="N16" s="34"/>
      <c r="O16" s="35"/>
      <c r="P16" s="35"/>
      <c r="Q16" s="35"/>
      <c r="R16" s="35"/>
      <c r="S16" s="35"/>
      <c r="T16" s="36"/>
      <c r="U16" s="34"/>
      <c r="V16" s="35"/>
      <c r="W16" s="35"/>
      <c r="X16" s="35"/>
      <c r="Y16" s="35"/>
      <c r="Z16" s="35"/>
      <c r="AA16" s="36"/>
      <c r="AB16" s="34"/>
      <c r="AC16" s="35"/>
      <c r="AD16" s="35"/>
      <c r="AE16" s="35"/>
      <c r="AF16" s="35"/>
      <c r="AG16" s="35"/>
      <c r="AH16" s="37"/>
      <c r="AI16" s="110" t="str">
        <f t="shared" si="0"/>
        <v/>
      </c>
      <c r="AJ16" s="110" t="str">
        <f t="shared" si="1"/>
        <v/>
      </c>
      <c r="AK16" s="110" t="str">
        <f t="shared" si="2"/>
        <v/>
      </c>
      <c r="AL16" s="110" t="str">
        <f t="shared" si="3"/>
        <v/>
      </c>
    </row>
    <row r="17" spans="6:38" ht="18.75" x14ac:dyDescent="0.2">
      <c r="F17" s="85"/>
      <c r="N17" s="21"/>
      <c r="O17" s="22"/>
      <c r="P17" s="22"/>
      <c r="Q17" s="22"/>
      <c r="R17" s="22"/>
      <c r="S17" s="22"/>
      <c r="T17" s="122"/>
      <c r="U17" s="21"/>
      <c r="V17" s="22"/>
      <c r="W17" s="22"/>
      <c r="X17" s="22"/>
      <c r="Y17" s="22"/>
      <c r="Z17" s="22"/>
      <c r="AA17" s="122"/>
      <c r="AB17" s="21"/>
      <c r="AC17" s="22"/>
      <c r="AD17" s="22"/>
      <c r="AE17" s="22"/>
      <c r="AF17" s="22"/>
      <c r="AG17" s="22"/>
      <c r="AH17" s="7"/>
      <c r="AI17" s="110" t="str">
        <f t="shared" si="0"/>
        <v/>
      </c>
      <c r="AJ17" s="110" t="str">
        <f t="shared" si="1"/>
        <v/>
      </c>
      <c r="AK17" s="110" t="str">
        <f t="shared" si="2"/>
        <v/>
      </c>
      <c r="AL17" s="110" t="str">
        <f t="shared" si="3"/>
        <v/>
      </c>
    </row>
    <row r="18" spans="6:38" ht="18.75" x14ac:dyDescent="0.2">
      <c r="F18" s="86"/>
      <c r="N18" s="21"/>
      <c r="O18" s="22"/>
      <c r="P18" s="22"/>
      <c r="Q18" s="22"/>
      <c r="R18" s="22"/>
      <c r="S18" s="22"/>
      <c r="T18" s="122"/>
      <c r="U18" s="21"/>
      <c r="V18" s="22"/>
      <c r="W18" s="22"/>
      <c r="X18" s="22"/>
      <c r="Y18" s="22"/>
      <c r="Z18" s="22"/>
      <c r="AA18" s="122"/>
      <c r="AB18" s="21"/>
      <c r="AC18" s="22"/>
      <c r="AD18" s="22"/>
      <c r="AE18" s="22"/>
      <c r="AF18" s="22"/>
      <c r="AG18" s="22"/>
      <c r="AH18" s="7"/>
      <c r="AI18" s="110" t="str">
        <f t="shared" si="0"/>
        <v/>
      </c>
      <c r="AJ18" s="110" t="str">
        <f t="shared" si="1"/>
        <v/>
      </c>
      <c r="AK18" s="110" t="str">
        <f t="shared" si="2"/>
        <v/>
      </c>
      <c r="AL18" s="110" t="str">
        <f t="shared" si="3"/>
        <v/>
      </c>
    </row>
    <row r="19" spans="6:38" ht="19.5" thickBot="1" x14ac:dyDescent="0.35">
      <c r="F19" s="83"/>
      <c r="N19" s="26"/>
      <c r="O19" s="27"/>
      <c r="P19" s="27"/>
      <c r="Q19" s="27"/>
      <c r="R19" s="27"/>
      <c r="S19" s="27"/>
      <c r="T19" s="3"/>
      <c r="U19" s="26"/>
      <c r="V19" s="27"/>
      <c r="W19" s="27"/>
      <c r="X19" s="27"/>
      <c r="Y19" s="27"/>
      <c r="Z19" s="27"/>
      <c r="AA19" s="3"/>
      <c r="AB19" s="26"/>
      <c r="AC19" s="27"/>
      <c r="AD19" s="27"/>
      <c r="AE19" s="27"/>
      <c r="AF19" s="27"/>
      <c r="AG19" s="27"/>
      <c r="AH19" s="28"/>
      <c r="AI19" s="110" t="str">
        <f t="shared" si="0"/>
        <v/>
      </c>
      <c r="AJ19" s="110" t="str">
        <f t="shared" si="1"/>
        <v/>
      </c>
      <c r="AK19" s="110" t="str">
        <f t="shared" si="2"/>
        <v/>
      </c>
      <c r="AL19" s="110" t="str">
        <f t="shared" si="3"/>
        <v/>
      </c>
    </row>
    <row r="20" spans="6:38" ht="22.5" thickTop="1" x14ac:dyDescent="0.2">
      <c r="F20" s="86"/>
      <c r="N20" s="21"/>
      <c r="O20" s="22"/>
      <c r="P20" s="22"/>
      <c r="Q20" s="22"/>
      <c r="R20" s="22"/>
      <c r="S20" s="22"/>
      <c r="T20" s="122"/>
      <c r="U20" s="21"/>
      <c r="V20" s="22"/>
      <c r="W20" s="22"/>
      <c r="X20" s="22"/>
      <c r="Y20" s="22"/>
      <c r="Z20" s="22"/>
      <c r="AA20" s="122"/>
      <c r="AB20" s="21"/>
      <c r="AC20" s="22"/>
      <c r="AD20" s="22"/>
      <c r="AE20" s="22"/>
      <c r="AF20" s="22"/>
      <c r="AG20" s="22"/>
      <c r="AH20" s="7"/>
      <c r="AI20" s="110" t="str">
        <f t="shared" si="0"/>
        <v/>
      </c>
      <c r="AJ20" s="110" t="str">
        <f t="shared" si="1"/>
        <v/>
      </c>
      <c r="AK20" s="110" t="str">
        <f t="shared" si="2"/>
        <v/>
      </c>
      <c r="AL20" s="110" t="str">
        <f t="shared" si="3"/>
        <v/>
      </c>
    </row>
    <row r="21" spans="6:38" x14ac:dyDescent="0.2">
      <c r="F21" s="86"/>
      <c r="N21" s="21"/>
      <c r="O21" s="22"/>
      <c r="P21" s="22"/>
      <c r="Q21" s="22"/>
      <c r="R21" s="22"/>
      <c r="S21" s="22"/>
      <c r="T21" s="122"/>
      <c r="U21" s="21"/>
      <c r="V21" s="22"/>
      <c r="W21" s="22"/>
      <c r="X21" s="22"/>
      <c r="Y21" s="22"/>
      <c r="Z21" s="22"/>
      <c r="AA21" s="122"/>
      <c r="AB21" s="21"/>
      <c r="AC21" s="22"/>
      <c r="AD21" s="22"/>
      <c r="AE21" s="22"/>
      <c r="AF21" s="22"/>
      <c r="AG21" s="22"/>
      <c r="AH21" s="7"/>
      <c r="AI21" s="110" t="str">
        <f t="shared" si="0"/>
        <v/>
      </c>
      <c r="AJ21" s="110" t="str">
        <f t="shared" si="1"/>
        <v/>
      </c>
      <c r="AK21" s="110" t="str">
        <f t="shared" si="2"/>
        <v/>
      </c>
      <c r="AL21" s="110" t="str">
        <f t="shared" si="3"/>
        <v/>
      </c>
    </row>
    <row r="22" spans="6:38" x14ac:dyDescent="0.2">
      <c r="F22" s="86"/>
      <c r="N22" s="21"/>
      <c r="O22" s="22"/>
      <c r="P22" s="22"/>
      <c r="Q22" s="22"/>
      <c r="R22" s="22"/>
      <c r="S22" s="22"/>
      <c r="T22" s="122"/>
      <c r="U22" s="21"/>
      <c r="V22" s="22"/>
      <c r="W22" s="22"/>
      <c r="X22" s="22"/>
      <c r="Y22" s="22"/>
      <c r="Z22" s="22"/>
      <c r="AA22" s="122"/>
      <c r="AB22" s="21"/>
      <c r="AC22" s="22"/>
      <c r="AD22" s="22"/>
      <c r="AE22" s="22"/>
      <c r="AF22" s="22"/>
      <c r="AG22" s="22"/>
      <c r="AH22" s="7"/>
      <c r="AI22" s="110" t="str">
        <f t="shared" si="0"/>
        <v/>
      </c>
      <c r="AJ22" s="110" t="str">
        <f t="shared" si="1"/>
        <v/>
      </c>
      <c r="AK22" s="110" t="str">
        <f t="shared" si="2"/>
        <v/>
      </c>
      <c r="AL22" s="110" t="str">
        <f t="shared" si="3"/>
        <v/>
      </c>
    </row>
    <row r="23" spans="6:38" x14ac:dyDescent="0.2">
      <c r="F23" s="86"/>
      <c r="N23" s="34"/>
      <c r="O23" s="35"/>
      <c r="P23" s="35"/>
      <c r="Q23" s="35"/>
      <c r="R23" s="35"/>
      <c r="S23" s="35"/>
      <c r="T23" s="36"/>
      <c r="U23" s="34"/>
      <c r="V23" s="35"/>
      <c r="W23" s="35"/>
      <c r="X23" s="35"/>
      <c r="Y23" s="35"/>
      <c r="Z23" s="35"/>
      <c r="AA23" s="36"/>
      <c r="AB23" s="34"/>
      <c r="AC23" s="35"/>
      <c r="AD23" s="35"/>
      <c r="AE23" s="35"/>
      <c r="AF23" s="35"/>
      <c r="AG23" s="35"/>
      <c r="AH23" s="37"/>
      <c r="AI23" s="110" t="str">
        <f t="shared" si="0"/>
        <v/>
      </c>
      <c r="AJ23" s="110" t="str">
        <f t="shared" si="1"/>
        <v/>
      </c>
      <c r="AK23" s="110" t="str">
        <f t="shared" si="2"/>
        <v/>
      </c>
      <c r="AL23" s="110" t="str">
        <f t="shared" si="3"/>
        <v/>
      </c>
    </row>
    <row r="24" spans="6:38" x14ac:dyDescent="0.2">
      <c r="F24" s="64"/>
      <c r="N24" s="34"/>
      <c r="O24" s="35"/>
      <c r="P24" s="35"/>
      <c r="Q24" s="35"/>
      <c r="R24" s="35"/>
      <c r="S24" s="35"/>
      <c r="T24" s="36"/>
      <c r="U24" s="34"/>
      <c r="V24" s="35"/>
      <c r="W24" s="35"/>
      <c r="X24" s="35"/>
      <c r="Y24" s="35"/>
      <c r="Z24" s="35"/>
      <c r="AA24" s="36"/>
      <c r="AB24" s="34"/>
      <c r="AC24" s="35"/>
      <c r="AD24" s="35"/>
      <c r="AE24" s="35"/>
      <c r="AF24" s="35"/>
      <c r="AG24" s="35"/>
      <c r="AH24" s="37"/>
      <c r="AI24" s="110" t="str">
        <f t="shared" si="0"/>
        <v/>
      </c>
      <c r="AJ24" s="110" t="str">
        <f t="shared" si="1"/>
        <v/>
      </c>
      <c r="AK24" s="110" t="str">
        <f t="shared" si="2"/>
        <v/>
      </c>
      <c r="AL24" s="110" t="str">
        <f t="shared" si="3"/>
        <v/>
      </c>
    </row>
    <row r="25" spans="6:38" x14ac:dyDescent="0.5">
      <c r="F25" s="119"/>
      <c r="N25" s="21"/>
      <c r="O25" s="22"/>
      <c r="P25" s="22"/>
      <c r="Q25" s="22"/>
      <c r="R25" s="22"/>
      <c r="S25" s="22"/>
      <c r="T25" s="122"/>
      <c r="U25" s="21"/>
      <c r="V25" s="22"/>
      <c r="W25" s="22"/>
      <c r="X25" s="22"/>
      <c r="Y25" s="22"/>
      <c r="Z25" s="22"/>
      <c r="AA25" s="122"/>
      <c r="AB25" s="21"/>
      <c r="AC25" s="22"/>
      <c r="AD25" s="22"/>
      <c r="AE25" s="22"/>
      <c r="AF25" s="22"/>
      <c r="AG25" s="22"/>
      <c r="AH25" s="7"/>
      <c r="AI25" s="110" t="str">
        <f t="shared" si="0"/>
        <v/>
      </c>
      <c r="AJ25" s="110" t="str">
        <f t="shared" si="1"/>
        <v/>
      </c>
      <c r="AK25" s="110" t="str">
        <f t="shared" si="2"/>
        <v/>
      </c>
      <c r="AL25" s="110" t="str">
        <f t="shared" si="3"/>
        <v/>
      </c>
    </row>
    <row r="26" spans="6:38" x14ac:dyDescent="0.2">
      <c r="F26" s="86"/>
      <c r="N26" s="21"/>
      <c r="O26" s="22"/>
      <c r="P26" s="22"/>
      <c r="Q26" s="22"/>
      <c r="R26" s="22"/>
      <c r="S26" s="22"/>
      <c r="T26" s="122"/>
      <c r="U26" s="21"/>
      <c r="V26" s="22"/>
      <c r="W26" s="22"/>
      <c r="X26" s="22"/>
      <c r="Y26" s="22"/>
      <c r="Z26" s="22"/>
      <c r="AA26" s="122"/>
      <c r="AB26" s="21"/>
      <c r="AC26" s="22"/>
      <c r="AD26" s="22"/>
      <c r="AE26" s="22"/>
      <c r="AF26" s="22"/>
      <c r="AG26" s="22"/>
      <c r="AH26" s="7"/>
      <c r="AI26" s="110" t="str">
        <f t="shared" si="0"/>
        <v/>
      </c>
      <c r="AJ26" s="110" t="str">
        <f t="shared" si="1"/>
        <v/>
      </c>
      <c r="AK26" s="110" t="str">
        <f t="shared" si="2"/>
        <v/>
      </c>
      <c r="AL26" s="110" t="str">
        <f t="shared" si="3"/>
        <v/>
      </c>
    </row>
    <row r="27" spans="6:38" ht="22.5" thickBot="1" x14ac:dyDescent="0.25">
      <c r="F27" s="120"/>
      <c r="N27" s="26"/>
      <c r="O27" s="27"/>
      <c r="P27" s="27"/>
      <c r="Q27" s="27"/>
      <c r="R27" s="27"/>
      <c r="S27" s="27"/>
      <c r="T27" s="3"/>
      <c r="U27" s="26"/>
      <c r="V27" s="27"/>
      <c r="W27" s="27"/>
      <c r="X27" s="27"/>
      <c r="Y27" s="27"/>
      <c r="Z27" s="27"/>
      <c r="AA27" s="3"/>
      <c r="AB27" s="26"/>
      <c r="AC27" s="27"/>
      <c r="AD27" s="27"/>
      <c r="AE27" s="27"/>
      <c r="AF27" s="27"/>
      <c r="AG27" s="27"/>
      <c r="AH27" s="28"/>
      <c r="AI27" s="110" t="str">
        <f t="shared" si="0"/>
        <v/>
      </c>
      <c r="AJ27" s="110" t="str">
        <f t="shared" si="1"/>
        <v/>
      </c>
      <c r="AK27" s="110" t="str">
        <f t="shared" si="2"/>
        <v/>
      </c>
      <c r="AL27" s="110" t="str">
        <f t="shared" si="3"/>
        <v/>
      </c>
    </row>
    <row r="28" spans="6:38" ht="22.5" thickTop="1" x14ac:dyDescent="0.2">
      <c r="F28" s="86"/>
      <c r="N28" s="21"/>
      <c r="O28" s="22"/>
      <c r="P28" s="22"/>
      <c r="Q28" s="22"/>
      <c r="R28" s="22"/>
      <c r="S28" s="22"/>
      <c r="T28" s="122"/>
      <c r="U28" s="21"/>
      <c r="V28" s="22"/>
      <c r="W28" s="22"/>
      <c r="X28" s="22"/>
      <c r="Y28" s="22"/>
      <c r="Z28" s="22"/>
      <c r="AA28" s="122"/>
      <c r="AB28" s="21"/>
      <c r="AC28" s="22"/>
      <c r="AD28" s="22"/>
      <c r="AE28" s="22"/>
      <c r="AF28" s="22"/>
      <c r="AG28" s="22"/>
      <c r="AH28" s="7"/>
      <c r="AI28" s="110" t="str">
        <f t="shared" si="0"/>
        <v/>
      </c>
      <c r="AJ28" s="110" t="str">
        <f t="shared" si="1"/>
        <v/>
      </c>
      <c r="AK28" s="110" t="str">
        <f t="shared" si="2"/>
        <v/>
      </c>
      <c r="AL28" s="110" t="str">
        <f t="shared" si="3"/>
        <v/>
      </c>
    </row>
    <row r="29" spans="6:38" x14ac:dyDescent="0.2">
      <c r="F29" s="64"/>
      <c r="N29" s="34"/>
      <c r="O29" s="35"/>
      <c r="P29" s="35"/>
      <c r="Q29" s="35"/>
      <c r="R29" s="35"/>
      <c r="S29" s="35"/>
      <c r="T29" s="36"/>
      <c r="U29" s="34"/>
      <c r="V29" s="35"/>
      <c r="W29" s="35"/>
      <c r="X29" s="35"/>
      <c r="Y29" s="35"/>
      <c r="Z29" s="35"/>
      <c r="AA29" s="36"/>
      <c r="AB29" s="34"/>
      <c r="AC29" s="35"/>
      <c r="AD29" s="35"/>
      <c r="AE29" s="35"/>
      <c r="AF29" s="35"/>
      <c r="AG29" s="35"/>
      <c r="AH29" s="37"/>
      <c r="AI29" s="110" t="str">
        <f t="shared" si="0"/>
        <v/>
      </c>
      <c r="AJ29" s="110" t="str">
        <f t="shared" si="1"/>
        <v/>
      </c>
      <c r="AK29" s="110" t="str">
        <f t="shared" si="2"/>
        <v/>
      </c>
      <c r="AL29" s="110" t="str">
        <f t="shared" si="3"/>
        <v/>
      </c>
    </row>
    <row r="30" spans="6:38" x14ac:dyDescent="0.5">
      <c r="F30" s="119"/>
      <c r="N30" s="21"/>
      <c r="O30" s="22"/>
      <c r="P30" s="22"/>
      <c r="Q30" s="22"/>
      <c r="R30" s="22"/>
      <c r="S30" s="22"/>
      <c r="T30" s="122"/>
      <c r="U30" s="21"/>
      <c r="V30" s="22"/>
      <c r="W30" s="22"/>
      <c r="X30" s="22"/>
      <c r="Y30" s="22"/>
      <c r="Z30" s="22"/>
      <c r="AA30" s="122"/>
      <c r="AB30" s="21"/>
      <c r="AC30" s="22"/>
      <c r="AD30" s="22"/>
      <c r="AE30" s="22"/>
      <c r="AF30" s="22"/>
      <c r="AG30" s="22"/>
      <c r="AH30" s="7"/>
      <c r="AI30" s="110" t="str">
        <f t="shared" si="0"/>
        <v/>
      </c>
      <c r="AJ30" s="110" t="str">
        <f t="shared" si="1"/>
        <v/>
      </c>
      <c r="AK30" s="110" t="str">
        <f t="shared" si="2"/>
        <v/>
      </c>
      <c r="AL30" s="110" t="str">
        <f t="shared" si="3"/>
        <v/>
      </c>
    </row>
    <row r="31" spans="6:38" x14ac:dyDescent="0.2">
      <c r="F31" s="64"/>
      <c r="N31" s="21"/>
      <c r="O31" s="22"/>
      <c r="P31" s="22"/>
      <c r="Q31" s="22"/>
      <c r="R31" s="22"/>
      <c r="S31" s="22"/>
      <c r="T31" s="122"/>
      <c r="U31" s="21"/>
      <c r="V31" s="22"/>
      <c r="W31" s="22"/>
      <c r="X31" s="22"/>
      <c r="Y31" s="22"/>
      <c r="Z31" s="22"/>
      <c r="AA31" s="122"/>
      <c r="AB31" s="21"/>
      <c r="AC31" s="22"/>
      <c r="AD31" s="22"/>
      <c r="AE31" s="22"/>
      <c r="AF31" s="22"/>
      <c r="AG31" s="22"/>
      <c r="AH31" s="7"/>
      <c r="AI31" s="110" t="str">
        <f t="shared" si="0"/>
        <v/>
      </c>
      <c r="AJ31" s="110" t="str">
        <f t="shared" si="1"/>
        <v/>
      </c>
      <c r="AK31" s="110" t="str">
        <f t="shared" si="2"/>
        <v/>
      </c>
      <c r="AL31" s="110" t="str">
        <f t="shared" si="3"/>
        <v/>
      </c>
    </row>
    <row r="32" spans="6:38" ht="22.5" thickBot="1" x14ac:dyDescent="0.25">
      <c r="F32" s="121"/>
      <c r="N32" s="26"/>
      <c r="O32" s="27"/>
      <c r="P32" s="27"/>
      <c r="Q32" s="27"/>
      <c r="R32" s="27"/>
      <c r="S32" s="27"/>
      <c r="T32" s="3"/>
      <c r="U32" s="26"/>
      <c r="V32" s="27"/>
      <c r="W32" s="27"/>
      <c r="X32" s="27"/>
      <c r="Y32" s="27"/>
      <c r="Z32" s="27"/>
      <c r="AA32" s="3"/>
      <c r="AB32" s="26"/>
      <c r="AC32" s="27"/>
      <c r="AD32" s="27"/>
      <c r="AE32" s="27"/>
      <c r="AF32" s="27"/>
      <c r="AG32" s="27"/>
      <c r="AH32" s="28"/>
      <c r="AI32" s="110" t="str">
        <f t="shared" si="0"/>
        <v/>
      </c>
      <c r="AJ32" s="110" t="str">
        <f t="shared" si="1"/>
        <v/>
      </c>
      <c r="AK32" s="110" t="str">
        <f t="shared" si="2"/>
        <v/>
      </c>
      <c r="AL32" s="110" t="str">
        <f t="shared" si="3"/>
        <v/>
      </c>
    </row>
    <row r="33" spans="6:38" ht="22.5" thickTop="1" x14ac:dyDescent="0.2">
      <c r="F33" s="64"/>
      <c r="N33" s="21"/>
      <c r="O33" s="22"/>
      <c r="P33" s="22"/>
      <c r="Q33" s="22"/>
      <c r="R33" s="22"/>
      <c r="S33" s="22"/>
      <c r="T33" s="122"/>
      <c r="U33" s="21"/>
      <c r="V33" s="22"/>
      <c r="W33" s="22"/>
      <c r="X33" s="22"/>
      <c r="Y33" s="22"/>
      <c r="Z33" s="22"/>
      <c r="AA33" s="122"/>
      <c r="AB33" s="21"/>
      <c r="AC33" s="22"/>
      <c r="AD33" s="22"/>
      <c r="AE33" s="22"/>
      <c r="AF33" s="22"/>
      <c r="AG33" s="22"/>
      <c r="AH33" s="7"/>
      <c r="AI33" s="110" t="str">
        <f t="shared" si="0"/>
        <v/>
      </c>
      <c r="AJ33" s="110" t="str">
        <f t="shared" si="1"/>
        <v/>
      </c>
      <c r="AK33" s="110" t="str">
        <f t="shared" si="2"/>
        <v/>
      </c>
      <c r="AL33" s="110" t="str">
        <f t="shared" si="3"/>
        <v/>
      </c>
    </row>
    <row r="34" spans="6:38" x14ac:dyDescent="0.2">
      <c r="F34" s="64"/>
      <c r="N34" s="34"/>
      <c r="O34" s="35"/>
      <c r="P34" s="35"/>
      <c r="Q34" s="35"/>
      <c r="R34" s="35"/>
      <c r="S34" s="35"/>
      <c r="T34" s="36"/>
      <c r="U34" s="34"/>
      <c r="V34" s="35"/>
      <c r="W34" s="35"/>
      <c r="X34" s="35"/>
      <c r="Y34" s="35"/>
      <c r="Z34" s="35"/>
      <c r="AA34" s="36"/>
      <c r="AB34" s="34"/>
      <c r="AC34" s="35"/>
      <c r="AD34" s="35"/>
      <c r="AE34" s="35"/>
      <c r="AF34" s="35"/>
      <c r="AG34" s="35"/>
      <c r="AH34" s="37"/>
      <c r="AI34" s="110" t="str">
        <f t="shared" si="0"/>
        <v/>
      </c>
      <c r="AJ34" s="110" t="str">
        <f t="shared" si="1"/>
        <v/>
      </c>
      <c r="AK34" s="110" t="str">
        <f t="shared" si="2"/>
        <v/>
      </c>
      <c r="AL34" s="110" t="str">
        <f t="shared" si="3"/>
        <v/>
      </c>
    </row>
    <row r="35" spans="6:38" x14ac:dyDescent="0.5">
      <c r="F35" s="119"/>
      <c r="N35" s="21"/>
      <c r="O35" s="22"/>
      <c r="P35" s="22"/>
      <c r="Q35" s="22"/>
      <c r="R35" s="22"/>
      <c r="S35" s="22"/>
      <c r="T35" s="122"/>
      <c r="U35" s="21"/>
      <c r="V35" s="22"/>
      <c r="W35" s="22"/>
      <c r="X35" s="22"/>
      <c r="Y35" s="22"/>
      <c r="Z35" s="22"/>
      <c r="AA35" s="122"/>
      <c r="AB35" s="21"/>
      <c r="AC35" s="22"/>
      <c r="AD35" s="22"/>
      <c r="AE35" s="22"/>
      <c r="AF35" s="22"/>
      <c r="AG35" s="22"/>
      <c r="AH35" s="7"/>
      <c r="AI35" s="110" t="str">
        <f t="shared" si="0"/>
        <v/>
      </c>
      <c r="AJ35" s="110" t="str">
        <f t="shared" si="1"/>
        <v/>
      </c>
      <c r="AK35" s="110" t="str">
        <f t="shared" si="2"/>
        <v/>
      </c>
      <c r="AL35" s="110" t="str">
        <f t="shared" si="3"/>
        <v/>
      </c>
    </row>
    <row r="36" spans="6:38" x14ac:dyDescent="0.2">
      <c r="F36" s="64"/>
      <c r="N36" s="21"/>
      <c r="O36" s="22"/>
      <c r="P36" s="22"/>
      <c r="Q36" s="22"/>
      <c r="R36" s="22"/>
      <c r="S36" s="22"/>
      <c r="T36" s="122"/>
      <c r="U36" s="21"/>
      <c r="V36" s="22"/>
      <c r="W36" s="22"/>
      <c r="X36" s="22"/>
      <c r="Y36" s="22"/>
      <c r="Z36" s="22"/>
      <c r="AA36" s="122"/>
      <c r="AB36" s="21"/>
      <c r="AC36" s="22"/>
      <c r="AD36" s="22"/>
      <c r="AE36" s="22"/>
      <c r="AF36" s="22"/>
      <c r="AG36" s="22"/>
      <c r="AH36" s="7"/>
      <c r="AI36" s="110" t="str">
        <f t="shared" si="0"/>
        <v/>
      </c>
      <c r="AJ36" s="110" t="str">
        <f t="shared" si="1"/>
        <v/>
      </c>
      <c r="AK36" s="110" t="str">
        <f t="shared" si="2"/>
        <v/>
      </c>
      <c r="AL36" s="110" t="str">
        <f t="shared" si="3"/>
        <v/>
      </c>
    </row>
    <row r="37" spans="6:38" ht="22.5" thickBot="1" x14ac:dyDescent="0.25">
      <c r="F37" s="121"/>
      <c r="N37" s="26"/>
      <c r="O37" s="27"/>
      <c r="P37" s="27"/>
      <c r="Q37" s="27"/>
      <c r="R37" s="27"/>
      <c r="S37" s="27"/>
      <c r="T37" s="3"/>
      <c r="U37" s="26"/>
      <c r="V37" s="27"/>
      <c r="W37" s="27"/>
      <c r="X37" s="27"/>
      <c r="Y37" s="27"/>
      <c r="Z37" s="27"/>
      <c r="AA37" s="3"/>
      <c r="AB37" s="26"/>
      <c r="AC37" s="27"/>
      <c r="AD37" s="27"/>
      <c r="AE37" s="27"/>
      <c r="AF37" s="27"/>
      <c r="AG37" s="27"/>
      <c r="AH37" s="28"/>
      <c r="AI37" s="110" t="str">
        <f t="shared" si="0"/>
        <v/>
      </c>
      <c r="AJ37" s="110" t="str">
        <f t="shared" si="1"/>
        <v/>
      </c>
      <c r="AK37" s="110" t="str">
        <f t="shared" si="2"/>
        <v/>
      </c>
      <c r="AL37" s="110" t="str">
        <f t="shared" si="3"/>
        <v/>
      </c>
    </row>
    <row r="38" spans="6:38" ht="22.5" thickTop="1" x14ac:dyDescent="0.2">
      <c r="F38" s="64"/>
      <c r="N38" s="21"/>
      <c r="O38" s="22"/>
      <c r="P38" s="22"/>
      <c r="Q38" s="22"/>
      <c r="R38" s="22"/>
      <c r="S38" s="22"/>
      <c r="T38" s="122"/>
      <c r="U38" s="21"/>
      <c r="V38" s="22"/>
      <c r="W38" s="22"/>
      <c r="X38" s="22"/>
      <c r="Y38" s="22"/>
      <c r="Z38" s="22"/>
      <c r="AA38" s="122"/>
      <c r="AB38" s="21"/>
      <c r="AC38" s="22"/>
      <c r="AD38" s="22"/>
      <c r="AE38" s="22"/>
      <c r="AF38" s="22"/>
      <c r="AG38" s="22"/>
      <c r="AH38" s="7"/>
      <c r="AI38" s="110" t="str">
        <f t="shared" si="0"/>
        <v/>
      </c>
      <c r="AJ38" s="110" t="str">
        <f t="shared" si="1"/>
        <v/>
      </c>
      <c r="AK38" s="110" t="str">
        <f t="shared" si="2"/>
        <v/>
      </c>
      <c r="AL38" s="110" t="str">
        <f t="shared" si="3"/>
        <v/>
      </c>
    </row>
    <row r="39" spans="6:38" x14ac:dyDescent="0.2">
      <c r="F39" s="64"/>
      <c r="N39" s="21"/>
      <c r="O39" s="22"/>
      <c r="P39" s="22"/>
      <c r="Q39" s="22"/>
      <c r="R39" s="22"/>
      <c r="S39" s="22"/>
      <c r="T39" s="122"/>
      <c r="U39" s="21"/>
      <c r="V39" s="22"/>
      <c r="W39" s="22"/>
      <c r="X39" s="22"/>
      <c r="Y39" s="22"/>
      <c r="Z39" s="22"/>
      <c r="AA39" s="122"/>
      <c r="AB39" s="21"/>
      <c r="AC39" s="22"/>
      <c r="AD39" s="22"/>
      <c r="AE39" s="22"/>
      <c r="AF39" s="22"/>
      <c r="AG39" s="22"/>
      <c r="AH39" s="7"/>
      <c r="AI39" s="110" t="str">
        <f t="shared" si="0"/>
        <v/>
      </c>
      <c r="AJ39" s="110" t="str">
        <f t="shared" si="1"/>
        <v/>
      </c>
      <c r="AK39" s="110" t="str">
        <f t="shared" si="2"/>
        <v/>
      </c>
      <c r="AL39" s="110" t="str">
        <f t="shared" si="3"/>
        <v/>
      </c>
    </row>
    <row r="40" spans="6:38" x14ac:dyDescent="0.2"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 s="110" t="str">
        <f t="shared" si="0"/>
        <v/>
      </c>
      <c r="AJ40" s="110" t="str">
        <f t="shared" si="1"/>
        <v/>
      </c>
      <c r="AK40" s="110" t="str">
        <f t="shared" si="2"/>
        <v/>
      </c>
      <c r="AL40" s="110" t="str">
        <f t="shared" si="3"/>
        <v/>
      </c>
    </row>
    <row r="41" spans="6:38" x14ac:dyDescent="0.2"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 s="110" t="str">
        <f t="shared" si="0"/>
        <v/>
      </c>
      <c r="AJ41" s="110" t="str">
        <f t="shared" si="1"/>
        <v/>
      </c>
      <c r="AK41" s="110" t="str">
        <f t="shared" si="2"/>
        <v/>
      </c>
      <c r="AL41" s="110" t="str">
        <f t="shared" si="3"/>
        <v/>
      </c>
    </row>
    <row r="42" spans="6:38" ht="22.5" thickBot="1" x14ac:dyDescent="0.55000000000000004">
      <c r="F42" s="97"/>
      <c r="N42" s="26"/>
      <c r="O42" s="27"/>
      <c r="P42" s="27"/>
      <c r="Q42" s="27"/>
      <c r="R42" s="27"/>
      <c r="S42" s="27"/>
      <c r="T42" s="3"/>
      <c r="U42" s="26"/>
      <c r="V42" s="27"/>
      <c r="W42" s="27"/>
      <c r="X42" s="27"/>
      <c r="Y42" s="27"/>
      <c r="Z42" s="27"/>
      <c r="AA42" s="3"/>
      <c r="AB42" s="26"/>
      <c r="AC42" s="27"/>
      <c r="AD42" s="27"/>
      <c r="AE42" s="27"/>
      <c r="AF42" s="27"/>
      <c r="AG42" s="27"/>
      <c r="AH42" s="28"/>
      <c r="AI42" s="110" t="str">
        <f t="shared" si="0"/>
        <v/>
      </c>
      <c r="AJ42" s="110" t="str">
        <f t="shared" si="1"/>
        <v/>
      </c>
      <c r="AK42" s="110" t="str">
        <f t="shared" si="2"/>
        <v/>
      </c>
      <c r="AL42" s="110" t="str">
        <f t="shared" si="3"/>
        <v/>
      </c>
    </row>
    <row r="43" spans="6:38" ht="22.5" thickTop="1" x14ac:dyDescent="0.2">
      <c r="F43" s="1"/>
      <c r="N43" s="122"/>
      <c r="O43" s="22"/>
      <c r="P43" s="22"/>
      <c r="Q43" s="22"/>
      <c r="R43" s="22"/>
      <c r="S43" s="22"/>
      <c r="T43" s="122"/>
      <c r="U43" s="122"/>
      <c r="V43" s="22"/>
      <c r="W43" s="22"/>
      <c r="X43" s="22"/>
      <c r="Y43" s="22"/>
      <c r="Z43" s="22"/>
      <c r="AA43" s="122"/>
      <c r="AB43" s="122"/>
      <c r="AC43" s="22"/>
      <c r="AD43" s="22"/>
      <c r="AE43" s="22"/>
      <c r="AF43" s="22"/>
      <c r="AG43" s="22"/>
      <c r="AH43" s="122"/>
      <c r="AI43" s="110" t="str">
        <f t="shared" si="0"/>
        <v/>
      </c>
      <c r="AJ43" s="110" t="str">
        <f t="shared" si="1"/>
        <v/>
      </c>
      <c r="AK43" s="110" t="str">
        <f t="shared" si="2"/>
        <v/>
      </c>
      <c r="AL43" s="110" t="str">
        <f t="shared" si="3"/>
        <v/>
      </c>
    </row>
    <row r="44" spans="6:38" x14ac:dyDescent="0.2">
      <c r="F44" s="1"/>
      <c r="N44" s="122"/>
      <c r="O44" s="22"/>
      <c r="P44" s="22"/>
      <c r="Q44" s="22"/>
      <c r="R44" s="22"/>
      <c r="S44" s="22"/>
      <c r="T44" s="122"/>
      <c r="U44" s="122"/>
      <c r="V44" s="22"/>
      <c r="W44" s="22"/>
      <c r="X44" s="22"/>
      <c r="Y44" s="22"/>
      <c r="Z44" s="22"/>
      <c r="AA44" s="122"/>
      <c r="AB44" s="122"/>
      <c r="AC44" s="22"/>
      <c r="AD44" s="22"/>
      <c r="AE44" s="22"/>
      <c r="AF44" s="22"/>
      <c r="AG44" s="22"/>
      <c r="AH44" s="122"/>
      <c r="AI44" s="110" t="str">
        <f t="shared" si="0"/>
        <v/>
      </c>
      <c r="AJ44" s="110" t="str">
        <f t="shared" si="1"/>
        <v/>
      </c>
      <c r="AK44" s="110" t="str">
        <f t="shared" si="2"/>
        <v/>
      </c>
      <c r="AL44" s="110" t="str">
        <f t="shared" si="3"/>
        <v/>
      </c>
    </row>
    <row r="45" spans="6:38" x14ac:dyDescent="0.2">
      <c r="F45" s="1"/>
      <c r="N45" s="122"/>
      <c r="O45" s="22"/>
      <c r="P45" s="22"/>
      <c r="Q45" s="22"/>
      <c r="R45" s="22"/>
      <c r="S45" s="22"/>
      <c r="T45" s="122"/>
      <c r="U45" s="122"/>
      <c r="V45" s="22"/>
      <c r="W45" s="22"/>
      <c r="X45" s="22"/>
      <c r="Y45" s="22"/>
      <c r="Z45" s="22"/>
      <c r="AA45" s="122"/>
      <c r="AB45" s="122"/>
      <c r="AC45" s="22"/>
      <c r="AD45" s="22"/>
      <c r="AE45" s="22"/>
      <c r="AF45" s="22"/>
      <c r="AG45" s="22"/>
      <c r="AH45" s="122"/>
      <c r="AI45" s="110" t="str">
        <f t="shared" si="0"/>
        <v/>
      </c>
      <c r="AJ45" s="110" t="str">
        <f t="shared" si="1"/>
        <v/>
      </c>
      <c r="AK45" s="110" t="str">
        <f t="shared" si="2"/>
        <v/>
      </c>
      <c r="AL45" s="110" t="str">
        <f t="shared" si="3"/>
        <v/>
      </c>
    </row>
    <row r="46" spans="6:38" x14ac:dyDescent="0.2">
      <c r="F46" s="1"/>
      <c r="N46" s="122"/>
      <c r="O46" s="22"/>
      <c r="P46" s="22"/>
      <c r="Q46" s="22"/>
      <c r="R46" s="22"/>
      <c r="S46" s="22"/>
      <c r="T46" s="122"/>
      <c r="U46" s="122"/>
      <c r="V46" s="22"/>
      <c r="W46" s="22"/>
      <c r="X46" s="22"/>
      <c r="Y46" s="22"/>
      <c r="Z46" s="22"/>
      <c r="AA46" s="122"/>
      <c r="AB46" s="122"/>
      <c r="AC46" s="22"/>
      <c r="AD46" s="22"/>
      <c r="AE46" s="22"/>
      <c r="AF46" s="22"/>
      <c r="AG46" s="22"/>
      <c r="AH46" s="122"/>
      <c r="AI46" s="110" t="str">
        <f t="shared" si="0"/>
        <v/>
      </c>
      <c r="AJ46" s="110" t="str">
        <f t="shared" si="1"/>
        <v/>
      </c>
      <c r="AK46" s="110" t="str">
        <f t="shared" si="2"/>
        <v/>
      </c>
      <c r="AL46" s="110" t="str">
        <f t="shared" si="3"/>
        <v/>
      </c>
    </row>
    <row r="47" spans="6:38" x14ac:dyDescent="0.2">
      <c r="F47" s="1"/>
      <c r="N47" s="122"/>
      <c r="O47" s="22"/>
      <c r="P47" s="22"/>
      <c r="Q47" s="22"/>
      <c r="R47" s="22"/>
      <c r="S47" s="22"/>
      <c r="T47" s="122"/>
      <c r="U47" s="122"/>
      <c r="V47" s="22"/>
      <c r="W47" s="22"/>
      <c r="X47" s="22"/>
      <c r="Y47" s="22"/>
      <c r="Z47" s="22"/>
      <c r="AA47" s="122"/>
      <c r="AB47" s="122"/>
      <c r="AC47" s="22"/>
      <c r="AD47" s="22"/>
      <c r="AE47" s="22"/>
      <c r="AF47" s="22"/>
      <c r="AG47" s="22"/>
      <c r="AH47" s="122"/>
      <c r="AI47" s="110" t="str">
        <f t="shared" si="0"/>
        <v/>
      </c>
      <c r="AJ47" s="110" t="str">
        <f t="shared" si="1"/>
        <v/>
      </c>
      <c r="AK47" s="110" t="str">
        <f t="shared" si="2"/>
        <v/>
      </c>
      <c r="AL47" s="110" t="str">
        <f t="shared" si="3"/>
        <v/>
      </c>
    </row>
    <row r="48" spans="6:38" x14ac:dyDescent="0.2">
      <c r="F48" s="1"/>
      <c r="N48" s="122"/>
      <c r="O48" s="22"/>
      <c r="P48" s="22"/>
      <c r="Q48" s="22"/>
      <c r="R48" s="22"/>
      <c r="S48" s="22"/>
      <c r="T48" s="122"/>
      <c r="U48" s="122"/>
      <c r="V48" s="22"/>
      <c r="W48" s="22"/>
      <c r="X48" s="22"/>
      <c r="Y48" s="22"/>
      <c r="Z48" s="22"/>
      <c r="AA48" s="122"/>
      <c r="AB48" s="122"/>
      <c r="AC48" s="22"/>
      <c r="AD48" s="22"/>
      <c r="AE48" s="22"/>
      <c r="AF48" s="22"/>
      <c r="AG48" s="22"/>
      <c r="AH48" s="122"/>
      <c r="AI48" s="110" t="str">
        <f t="shared" si="0"/>
        <v/>
      </c>
      <c r="AJ48" s="110" t="str">
        <f t="shared" si="1"/>
        <v/>
      </c>
      <c r="AK48" s="110" t="str">
        <f t="shared" si="2"/>
        <v/>
      </c>
      <c r="AL48" s="110" t="str">
        <f t="shared" si="3"/>
        <v/>
      </c>
    </row>
    <row r="49" spans="6:38" x14ac:dyDescent="0.2">
      <c r="F49" s="1"/>
      <c r="N49" s="122"/>
      <c r="O49" s="22"/>
      <c r="P49" s="22"/>
      <c r="Q49" s="22"/>
      <c r="R49" s="22"/>
      <c r="S49" s="22"/>
      <c r="T49" s="122"/>
      <c r="U49" s="122"/>
      <c r="V49" s="22"/>
      <c r="W49" s="22"/>
      <c r="X49" s="22"/>
      <c r="Y49" s="22"/>
      <c r="Z49" s="22"/>
      <c r="AA49" s="122"/>
      <c r="AB49" s="122"/>
      <c r="AC49" s="22"/>
      <c r="AD49" s="22"/>
      <c r="AE49" s="22"/>
      <c r="AF49" s="22"/>
      <c r="AG49" s="22"/>
      <c r="AH49" s="122"/>
      <c r="AI49" s="110" t="str">
        <f t="shared" si="0"/>
        <v/>
      </c>
      <c r="AJ49" s="110" t="str">
        <f t="shared" si="1"/>
        <v/>
      </c>
      <c r="AK49" s="110" t="str">
        <f t="shared" si="2"/>
        <v/>
      </c>
      <c r="AL49" s="110" t="str">
        <f t="shared" si="3"/>
        <v/>
      </c>
    </row>
    <row r="50" spans="6:38" x14ac:dyDescent="0.2">
      <c r="F50" s="1"/>
      <c r="N50" s="122"/>
      <c r="O50" s="22"/>
      <c r="P50" s="22"/>
      <c r="Q50" s="22"/>
      <c r="R50" s="22"/>
      <c r="S50" s="22"/>
      <c r="T50" s="122"/>
      <c r="U50" s="122"/>
      <c r="V50" s="22"/>
      <c r="W50" s="22"/>
      <c r="X50" s="22"/>
      <c r="Y50" s="22"/>
      <c r="Z50" s="22"/>
      <c r="AA50" s="122"/>
      <c r="AB50" s="122"/>
      <c r="AC50" s="22"/>
      <c r="AD50" s="22"/>
      <c r="AE50" s="22"/>
      <c r="AF50" s="22"/>
      <c r="AG50" s="22"/>
      <c r="AH50" s="122"/>
      <c r="AI50" s="110" t="str">
        <f t="shared" si="0"/>
        <v/>
      </c>
      <c r="AJ50" s="110" t="str">
        <f t="shared" si="1"/>
        <v/>
      </c>
      <c r="AK50" s="110" t="str">
        <f t="shared" si="2"/>
        <v/>
      </c>
      <c r="AL50" s="110" t="str">
        <f t="shared" si="3"/>
        <v/>
      </c>
    </row>
    <row r="51" spans="6:38" x14ac:dyDescent="0.2">
      <c r="F51" s="1"/>
      <c r="N51" s="122"/>
      <c r="O51" s="22"/>
      <c r="P51" s="22"/>
      <c r="Q51" s="22"/>
      <c r="R51" s="22"/>
      <c r="S51" s="22"/>
      <c r="T51" s="122"/>
      <c r="U51" s="122"/>
      <c r="V51" s="22"/>
      <c r="W51" s="22"/>
      <c r="X51" s="22"/>
      <c r="Y51" s="22"/>
      <c r="Z51" s="22"/>
      <c r="AA51" s="122"/>
      <c r="AB51" s="122"/>
      <c r="AC51" s="22"/>
      <c r="AD51" s="22"/>
      <c r="AE51" s="22"/>
      <c r="AF51" s="22"/>
      <c r="AG51" s="22"/>
      <c r="AH51" s="122"/>
      <c r="AI51" s="110" t="str">
        <f t="shared" si="0"/>
        <v/>
      </c>
      <c r="AJ51" s="110" t="str">
        <f t="shared" si="1"/>
        <v/>
      </c>
      <c r="AK51" s="110" t="str">
        <f t="shared" si="2"/>
        <v/>
      </c>
      <c r="AL51" s="110" t="str">
        <f t="shared" si="3"/>
        <v/>
      </c>
    </row>
    <row r="52" spans="6:38" x14ac:dyDescent="0.2">
      <c r="F52" s="1"/>
      <c r="N52" s="122"/>
      <c r="O52" s="22"/>
      <c r="P52" s="22"/>
      <c r="Q52" s="22"/>
      <c r="R52" s="22"/>
      <c r="S52" s="22"/>
      <c r="T52" s="122"/>
      <c r="U52" s="122"/>
      <c r="V52" s="22"/>
      <c r="W52" s="22"/>
      <c r="X52" s="22"/>
      <c r="Y52" s="22"/>
      <c r="Z52" s="22"/>
      <c r="AA52" s="122"/>
      <c r="AB52" s="122"/>
      <c r="AC52" s="22"/>
      <c r="AD52" s="22"/>
      <c r="AE52" s="22"/>
      <c r="AF52" s="22"/>
      <c r="AG52" s="22"/>
      <c r="AH52" s="122"/>
      <c r="AI52" s="110" t="str">
        <f t="shared" si="0"/>
        <v/>
      </c>
      <c r="AJ52" s="110" t="str">
        <f t="shared" si="1"/>
        <v/>
      </c>
      <c r="AK52" s="110" t="str">
        <f t="shared" si="2"/>
        <v/>
      </c>
      <c r="AL52" s="110" t="str">
        <f t="shared" si="3"/>
        <v/>
      </c>
    </row>
    <row r="53" spans="6:38" x14ac:dyDescent="0.2">
      <c r="F53" s="1"/>
      <c r="N53" s="122"/>
      <c r="O53" s="22"/>
      <c r="P53" s="22"/>
      <c r="Q53" s="22"/>
      <c r="R53" s="22"/>
      <c r="S53" s="22"/>
      <c r="T53" s="122"/>
      <c r="U53" s="122"/>
      <c r="V53" s="22"/>
      <c r="W53" s="22"/>
      <c r="X53" s="22"/>
      <c r="Y53" s="22"/>
      <c r="Z53" s="22"/>
      <c r="AA53" s="122"/>
      <c r="AB53" s="122"/>
      <c r="AC53" s="22"/>
      <c r="AD53" s="22"/>
      <c r="AE53" s="22"/>
      <c r="AF53" s="22"/>
      <c r="AG53" s="22"/>
      <c r="AH53" s="122"/>
      <c r="AI53" s="110" t="str">
        <f t="shared" si="0"/>
        <v/>
      </c>
      <c r="AJ53" s="110" t="str">
        <f t="shared" si="1"/>
        <v/>
      </c>
      <c r="AK53" s="110" t="str">
        <f t="shared" si="2"/>
        <v/>
      </c>
      <c r="AL53" s="110" t="str">
        <f t="shared" si="3"/>
        <v/>
      </c>
    </row>
    <row r="54" spans="6:38" x14ac:dyDescent="0.2">
      <c r="F54" s="1"/>
      <c r="N54" s="122"/>
      <c r="O54" s="22"/>
      <c r="P54" s="22"/>
      <c r="Q54" s="22"/>
      <c r="R54" s="22"/>
      <c r="S54" s="22"/>
      <c r="T54" s="122"/>
      <c r="U54" s="122"/>
      <c r="V54" s="22"/>
      <c r="W54" s="22"/>
      <c r="X54" s="22"/>
      <c r="Y54" s="22"/>
      <c r="Z54" s="22"/>
      <c r="AA54" s="122"/>
      <c r="AB54" s="122"/>
      <c r="AC54" s="22"/>
      <c r="AD54" s="22"/>
      <c r="AE54" s="22"/>
      <c r="AF54" s="22"/>
      <c r="AG54" s="22"/>
      <c r="AH54" s="122"/>
      <c r="AI54" s="110" t="str">
        <f t="shared" si="0"/>
        <v/>
      </c>
      <c r="AJ54" s="110" t="str">
        <f t="shared" si="1"/>
        <v/>
      </c>
      <c r="AK54" s="110" t="str">
        <f t="shared" si="2"/>
        <v/>
      </c>
      <c r="AL54" s="110" t="str">
        <f t="shared" si="3"/>
        <v/>
      </c>
    </row>
    <row r="55" spans="6:38" x14ac:dyDescent="0.2">
      <c r="F55" s="1"/>
      <c r="N55" s="122"/>
      <c r="O55" s="22"/>
      <c r="P55" s="22"/>
      <c r="Q55" s="22"/>
      <c r="R55" s="22"/>
      <c r="S55" s="22"/>
      <c r="T55" s="122"/>
      <c r="U55" s="122"/>
      <c r="V55" s="22"/>
      <c r="W55" s="22"/>
      <c r="X55" s="22"/>
      <c r="Y55" s="22"/>
      <c r="Z55" s="22"/>
      <c r="AA55" s="122"/>
      <c r="AB55" s="122"/>
      <c r="AC55" s="22"/>
      <c r="AD55" s="22"/>
      <c r="AE55" s="22"/>
      <c r="AF55" s="22"/>
      <c r="AG55" s="22"/>
      <c r="AH55" s="122"/>
      <c r="AI55" s="110" t="str">
        <f t="shared" si="0"/>
        <v/>
      </c>
      <c r="AJ55" s="110" t="str">
        <f t="shared" si="1"/>
        <v/>
      </c>
      <c r="AK55" s="110" t="str">
        <f t="shared" si="2"/>
        <v/>
      </c>
      <c r="AL55" s="110" t="str">
        <f t="shared" si="3"/>
        <v/>
      </c>
    </row>
    <row r="56" spans="6:38" x14ac:dyDescent="0.2">
      <c r="F56" s="1"/>
      <c r="N56" s="122"/>
      <c r="O56" s="22"/>
      <c r="P56" s="22"/>
      <c r="Q56" s="22"/>
      <c r="R56" s="22"/>
      <c r="S56" s="22"/>
      <c r="T56" s="122"/>
      <c r="U56" s="122"/>
      <c r="V56" s="22"/>
      <c r="W56" s="22"/>
      <c r="X56" s="22"/>
      <c r="Y56" s="22"/>
      <c r="Z56" s="22"/>
      <c r="AA56" s="122"/>
      <c r="AB56" s="122"/>
      <c r="AC56" s="22"/>
      <c r="AD56" s="22"/>
      <c r="AE56" s="22"/>
      <c r="AF56" s="22"/>
      <c r="AG56" s="22"/>
      <c r="AH56" s="122"/>
      <c r="AI56" s="110" t="str">
        <f t="shared" si="0"/>
        <v/>
      </c>
      <c r="AJ56" s="110" t="str">
        <f t="shared" si="1"/>
        <v/>
      </c>
      <c r="AK56" s="110" t="str">
        <f t="shared" si="2"/>
        <v/>
      </c>
      <c r="AL56" s="110" t="str">
        <f t="shared" si="3"/>
        <v/>
      </c>
    </row>
    <row r="57" spans="6:38" x14ac:dyDescent="0.2">
      <c r="F57" s="1"/>
      <c r="N57" s="122"/>
      <c r="O57" s="22"/>
      <c r="P57" s="22"/>
      <c r="Q57" s="22"/>
      <c r="R57" s="22"/>
      <c r="S57" s="22"/>
      <c r="T57" s="122"/>
      <c r="U57" s="122"/>
      <c r="V57" s="22"/>
      <c r="W57" s="22"/>
      <c r="X57" s="22"/>
      <c r="Y57" s="22"/>
      <c r="Z57" s="22"/>
      <c r="AA57" s="122"/>
      <c r="AB57" s="122"/>
      <c r="AC57" s="22"/>
      <c r="AD57" s="22"/>
      <c r="AE57" s="22"/>
      <c r="AF57" s="22"/>
      <c r="AG57" s="22"/>
      <c r="AH57" s="122"/>
      <c r="AI57" s="110" t="str">
        <f t="shared" si="0"/>
        <v/>
      </c>
      <c r="AJ57" s="110" t="str">
        <f t="shared" si="1"/>
        <v/>
      </c>
      <c r="AK57" s="110" t="str">
        <f t="shared" si="2"/>
        <v/>
      </c>
      <c r="AL57" s="110" t="str">
        <f t="shared" si="3"/>
        <v/>
      </c>
    </row>
    <row r="58" spans="6:38" x14ac:dyDescent="0.2">
      <c r="F58" s="1"/>
      <c r="N58" s="122"/>
      <c r="O58" s="22"/>
      <c r="P58" s="22"/>
      <c r="Q58" s="22"/>
      <c r="R58" s="22"/>
      <c r="S58" s="22"/>
      <c r="T58" s="122"/>
      <c r="U58" s="122"/>
      <c r="V58" s="22"/>
      <c r="W58" s="22"/>
      <c r="X58" s="22"/>
      <c r="Y58" s="22"/>
      <c r="Z58" s="22"/>
      <c r="AA58" s="122"/>
      <c r="AB58" s="122"/>
      <c r="AC58" s="22"/>
      <c r="AD58" s="22"/>
      <c r="AE58" s="22"/>
      <c r="AF58" s="22"/>
      <c r="AG58" s="22"/>
      <c r="AH58" s="122"/>
      <c r="AI58" s="110" t="str">
        <f t="shared" si="0"/>
        <v/>
      </c>
      <c r="AJ58" s="110" t="str">
        <f t="shared" si="1"/>
        <v/>
      </c>
      <c r="AK58" s="110" t="str">
        <f t="shared" si="2"/>
        <v/>
      </c>
      <c r="AL58" s="110" t="str">
        <f t="shared" si="3"/>
        <v/>
      </c>
    </row>
    <row r="59" spans="6:38" x14ac:dyDescent="0.2">
      <c r="F59" s="1"/>
      <c r="N59" s="122"/>
      <c r="O59" s="22"/>
      <c r="P59" s="22"/>
      <c r="Q59" s="22"/>
      <c r="R59" s="22"/>
      <c r="S59" s="22"/>
      <c r="T59" s="122"/>
      <c r="U59" s="122"/>
      <c r="V59" s="22"/>
      <c r="W59" s="22"/>
      <c r="X59" s="22"/>
      <c r="Y59" s="22"/>
      <c r="Z59" s="22"/>
      <c r="AA59" s="122"/>
      <c r="AB59" s="122"/>
      <c r="AC59" s="22"/>
      <c r="AD59" s="22"/>
      <c r="AE59" s="22"/>
      <c r="AF59" s="22"/>
      <c r="AG59" s="22"/>
      <c r="AH59" s="122"/>
      <c r="AI59" s="110" t="str">
        <f t="shared" si="0"/>
        <v/>
      </c>
      <c r="AJ59" s="110" t="str">
        <f t="shared" si="1"/>
        <v/>
      </c>
      <c r="AK59" s="110" t="str">
        <f t="shared" si="2"/>
        <v/>
      </c>
      <c r="AL59" s="110" t="str">
        <f t="shared" si="3"/>
        <v/>
      </c>
    </row>
    <row r="60" spans="6:38" x14ac:dyDescent="0.2">
      <c r="F60" s="1"/>
      <c r="N60" s="122"/>
      <c r="O60" s="22"/>
      <c r="P60" s="22"/>
      <c r="Q60" s="22"/>
      <c r="R60" s="22"/>
      <c r="S60" s="22"/>
      <c r="T60" s="122"/>
      <c r="U60" s="122"/>
      <c r="V60" s="22"/>
      <c r="W60" s="22"/>
      <c r="X60" s="22"/>
      <c r="Y60" s="22"/>
      <c r="Z60" s="22"/>
      <c r="AA60" s="122"/>
      <c r="AB60" s="122"/>
      <c r="AC60" s="22"/>
      <c r="AD60" s="22"/>
      <c r="AE60" s="22"/>
      <c r="AF60" s="22"/>
      <c r="AG60" s="22"/>
      <c r="AH60" s="122"/>
      <c r="AI60" s="110" t="str">
        <f t="shared" si="0"/>
        <v/>
      </c>
      <c r="AJ60" s="110" t="str">
        <f t="shared" si="1"/>
        <v/>
      </c>
      <c r="AK60" s="110" t="str">
        <f t="shared" si="2"/>
        <v/>
      </c>
      <c r="AL60" s="110" t="str">
        <f t="shared" si="3"/>
        <v/>
      </c>
    </row>
    <row r="61" spans="6:38" x14ac:dyDescent="0.2">
      <c r="F61" s="1"/>
      <c r="N61" s="122"/>
      <c r="O61" s="22"/>
      <c r="P61" s="22"/>
      <c r="Q61" s="22"/>
      <c r="R61" s="22"/>
      <c r="S61" s="22"/>
      <c r="T61" s="122"/>
      <c r="U61" s="122"/>
      <c r="V61" s="22"/>
      <c r="W61" s="22"/>
      <c r="X61" s="22"/>
      <c r="Y61" s="22"/>
      <c r="Z61" s="22"/>
      <c r="AA61" s="122"/>
      <c r="AB61" s="122"/>
      <c r="AC61" s="22"/>
      <c r="AD61" s="22"/>
      <c r="AE61" s="22"/>
      <c r="AF61" s="22"/>
      <c r="AG61" s="22"/>
      <c r="AH61" s="122"/>
      <c r="AI61" s="110" t="str">
        <f t="shared" si="0"/>
        <v/>
      </c>
      <c r="AJ61" s="110" t="str">
        <f t="shared" si="1"/>
        <v/>
      </c>
      <c r="AK61" s="110" t="str">
        <f t="shared" si="2"/>
        <v/>
      </c>
      <c r="AL61" s="110" t="str">
        <f t="shared" si="3"/>
        <v/>
      </c>
    </row>
    <row r="62" spans="6:38" x14ac:dyDescent="0.2">
      <c r="F62" s="1"/>
      <c r="N62" s="122"/>
      <c r="O62" s="22"/>
      <c r="P62" s="22"/>
      <c r="Q62" s="22"/>
      <c r="R62" s="22"/>
      <c r="S62" s="22"/>
      <c r="T62" s="122"/>
      <c r="U62" s="122"/>
      <c r="V62" s="22"/>
      <c r="W62" s="22"/>
      <c r="X62" s="22"/>
      <c r="Y62" s="22"/>
      <c r="Z62" s="22"/>
      <c r="AA62" s="122"/>
      <c r="AB62" s="122"/>
      <c r="AC62" s="22"/>
      <c r="AD62" s="22"/>
      <c r="AE62" s="22"/>
      <c r="AF62" s="22"/>
      <c r="AG62" s="22"/>
      <c r="AH62" s="122"/>
      <c r="AI62" s="110" t="str">
        <f t="shared" si="0"/>
        <v/>
      </c>
      <c r="AJ62" s="110" t="str">
        <f t="shared" si="1"/>
        <v/>
      </c>
      <c r="AK62" s="110" t="str">
        <f t="shared" si="2"/>
        <v/>
      </c>
      <c r="AL62" s="110" t="str">
        <f t="shared" si="3"/>
        <v/>
      </c>
    </row>
    <row r="63" spans="6:38" x14ac:dyDescent="0.2">
      <c r="F63" s="1"/>
      <c r="N63" s="122"/>
      <c r="O63" s="22"/>
      <c r="P63" s="22"/>
      <c r="Q63" s="22"/>
      <c r="R63" s="22"/>
      <c r="S63" s="22"/>
      <c r="T63" s="122"/>
      <c r="U63" s="122"/>
      <c r="V63" s="22"/>
      <c r="W63" s="22"/>
      <c r="X63" s="22"/>
      <c r="Y63" s="22"/>
      <c r="Z63" s="22"/>
      <c r="AA63" s="122"/>
      <c r="AB63" s="122"/>
      <c r="AC63" s="22"/>
      <c r="AD63" s="22"/>
      <c r="AE63" s="22"/>
      <c r="AF63" s="22"/>
      <c r="AG63" s="22"/>
      <c r="AH63" s="122"/>
      <c r="AI63" s="110" t="str">
        <f t="shared" si="0"/>
        <v/>
      </c>
      <c r="AJ63" s="110" t="str">
        <f t="shared" si="1"/>
        <v/>
      </c>
      <c r="AK63" s="110" t="str">
        <f t="shared" si="2"/>
        <v/>
      </c>
      <c r="AL63" s="110" t="str">
        <f t="shared" si="3"/>
        <v/>
      </c>
    </row>
    <row r="64" spans="6:38" x14ac:dyDescent="0.2">
      <c r="F64" s="1"/>
      <c r="N64" s="122"/>
      <c r="O64" s="22"/>
      <c r="P64" s="22"/>
      <c r="Q64" s="22"/>
      <c r="R64" s="22"/>
      <c r="S64" s="22"/>
      <c r="T64" s="122"/>
      <c r="U64" s="122"/>
      <c r="V64" s="22"/>
      <c r="W64" s="22"/>
      <c r="X64" s="22"/>
      <c r="Y64" s="22"/>
      <c r="Z64" s="22"/>
      <c r="AA64" s="122"/>
      <c r="AB64" s="122"/>
      <c r="AC64" s="22"/>
      <c r="AD64" s="22"/>
      <c r="AE64" s="22"/>
      <c r="AF64" s="22"/>
      <c r="AG64" s="22"/>
      <c r="AH64" s="122"/>
      <c r="AI64" s="110" t="str">
        <f t="shared" si="0"/>
        <v/>
      </c>
      <c r="AJ64" s="110" t="str">
        <f t="shared" si="1"/>
        <v/>
      </c>
      <c r="AK64" s="110" t="str">
        <f t="shared" si="2"/>
        <v/>
      </c>
      <c r="AL64" s="110" t="str">
        <f t="shared" si="3"/>
        <v/>
      </c>
    </row>
    <row r="65" spans="6:38" x14ac:dyDescent="0.2">
      <c r="F65" s="1"/>
      <c r="N65" s="122"/>
      <c r="O65" s="22"/>
      <c r="P65" s="22"/>
      <c r="Q65" s="22"/>
      <c r="R65" s="22"/>
      <c r="S65" s="22"/>
      <c r="T65" s="122"/>
      <c r="U65" s="122"/>
      <c r="V65" s="22"/>
      <c r="W65" s="22"/>
      <c r="X65" s="22"/>
      <c r="Y65" s="22"/>
      <c r="Z65" s="22"/>
      <c r="AA65" s="122"/>
      <c r="AB65" s="122"/>
      <c r="AC65" s="22"/>
      <c r="AD65" s="22"/>
      <c r="AE65" s="22"/>
      <c r="AF65" s="22"/>
      <c r="AG65" s="22"/>
      <c r="AH65" s="122"/>
      <c r="AI65" s="110" t="str">
        <f t="shared" si="0"/>
        <v/>
      </c>
      <c r="AJ65" s="110" t="str">
        <f t="shared" si="1"/>
        <v/>
      </c>
      <c r="AK65" s="110" t="str">
        <f t="shared" si="2"/>
        <v/>
      </c>
      <c r="AL65" s="110" t="str">
        <f t="shared" si="3"/>
        <v/>
      </c>
    </row>
    <row r="66" spans="6:38" x14ac:dyDescent="0.2">
      <c r="F66" s="1"/>
      <c r="N66" s="122"/>
      <c r="O66" s="22"/>
      <c r="P66" s="22"/>
      <c r="Q66" s="22"/>
      <c r="R66" s="22"/>
      <c r="S66" s="22"/>
      <c r="T66" s="122"/>
      <c r="U66" s="122"/>
      <c r="V66" s="22"/>
      <c r="W66" s="22"/>
      <c r="X66" s="22"/>
      <c r="Y66" s="22"/>
      <c r="Z66" s="22"/>
      <c r="AA66" s="122"/>
      <c r="AB66" s="122"/>
      <c r="AC66" s="22"/>
      <c r="AD66" s="22"/>
      <c r="AE66" s="22"/>
      <c r="AF66" s="22"/>
      <c r="AG66" s="22"/>
      <c r="AH66" s="122"/>
      <c r="AI66" s="110" t="str">
        <f t="shared" si="0"/>
        <v/>
      </c>
      <c r="AJ66" s="110" t="str">
        <f t="shared" si="1"/>
        <v/>
      </c>
      <c r="AK66" s="110" t="str">
        <f t="shared" si="2"/>
        <v/>
      </c>
      <c r="AL66" s="110" t="str">
        <f t="shared" si="3"/>
        <v/>
      </c>
    </row>
    <row r="67" spans="6:38" x14ac:dyDescent="0.2">
      <c r="F67" s="1"/>
      <c r="N67" s="122"/>
      <c r="O67" s="22"/>
      <c r="P67" s="22"/>
      <c r="Q67" s="22"/>
      <c r="R67" s="22"/>
      <c r="S67" s="22"/>
      <c r="T67" s="122"/>
      <c r="U67" s="122"/>
      <c r="V67" s="22"/>
      <c r="W67" s="22"/>
      <c r="X67" s="22"/>
      <c r="Y67" s="22"/>
      <c r="Z67" s="22"/>
      <c r="AA67" s="122"/>
      <c r="AB67" s="122"/>
      <c r="AC67" s="22"/>
      <c r="AD67" s="22"/>
      <c r="AE67" s="22"/>
      <c r="AF67" s="22"/>
      <c r="AG67" s="22"/>
      <c r="AH67" s="122"/>
      <c r="AI67" s="110" t="str">
        <f t="shared" si="0"/>
        <v/>
      </c>
      <c r="AJ67" s="110" t="str">
        <f t="shared" si="1"/>
        <v/>
      </c>
      <c r="AK67" s="110" t="str">
        <f t="shared" si="2"/>
        <v/>
      </c>
      <c r="AL67" s="110" t="str">
        <f t="shared" si="3"/>
        <v/>
      </c>
    </row>
    <row r="68" spans="6:38" x14ac:dyDescent="0.2">
      <c r="F68" s="1"/>
      <c r="N68" s="122"/>
      <c r="O68" s="22"/>
      <c r="P68" s="22"/>
      <c r="Q68" s="22"/>
      <c r="R68" s="22"/>
      <c r="S68" s="22"/>
      <c r="T68" s="122"/>
      <c r="U68" s="122"/>
      <c r="V68" s="22"/>
      <c r="W68" s="22"/>
      <c r="X68" s="22"/>
      <c r="Y68" s="22"/>
      <c r="Z68" s="22"/>
      <c r="AA68" s="122"/>
      <c r="AB68" s="122"/>
      <c r="AC68" s="22"/>
      <c r="AD68" s="22"/>
      <c r="AE68" s="22"/>
      <c r="AF68" s="22"/>
      <c r="AG68" s="22"/>
      <c r="AH68" s="122"/>
      <c r="AI68" s="110" t="str">
        <f t="shared" si="0"/>
        <v/>
      </c>
      <c r="AJ68" s="110" t="str">
        <f t="shared" si="1"/>
        <v/>
      </c>
      <c r="AK68" s="110" t="str">
        <f t="shared" si="2"/>
        <v/>
      </c>
      <c r="AL68" s="110" t="str">
        <f t="shared" si="3"/>
        <v/>
      </c>
    </row>
    <row r="69" spans="6:38" x14ac:dyDescent="0.2">
      <c r="F69" s="1"/>
      <c r="N69" s="122"/>
      <c r="O69" s="22"/>
      <c r="P69" s="22"/>
      <c r="Q69" s="22"/>
      <c r="R69" s="22"/>
      <c r="S69" s="22"/>
      <c r="T69" s="122"/>
      <c r="U69" s="122"/>
      <c r="V69" s="22"/>
      <c r="W69" s="22"/>
      <c r="X69" s="22"/>
      <c r="Y69" s="22"/>
      <c r="Z69" s="22"/>
      <c r="AA69" s="122"/>
      <c r="AB69" s="122"/>
      <c r="AC69" s="22"/>
      <c r="AD69" s="22"/>
      <c r="AE69" s="22"/>
      <c r="AF69" s="22"/>
      <c r="AG69" s="22"/>
      <c r="AH69" s="122"/>
      <c r="AI69" s="110" t="str">
        <f t="shared" si="0"/>
        <v/>
      </c>
      <c r="AJ69" s="110" t="str">
        <f t="shared" si="1"/>
        <v/>
      </c>
      <c r="AK69" s="110" t="str">
        <f t="shared" si="2"/>
        <v/>
      </c>
      <c r="AL69" s="110" t="str">
        <f t="shared" si="3"/>
        <v/>
      </c>
    </row>
    <row r="70" spans="6:38" x14ac:dyDescent="0.2">
      <c r="F70" s="1"/>
      <c r="N70" s="122"/>
      <c r="O70" s="22"/>
      <c r="P70" s="22"/>
      <c r="Q70" s="22"/>
      <c r="R70" s="22"/>
      <c r="S70" s="22"/>
      <c r="T70" s="122"/>
      <c r="U70" s="122"/>
      <c r="V70" s="22"/>
      <c r="W70" s="22"/>
      <c r="X70" s="22"/>
      <c r="Y70" s="22"/>
      <c r="Z70" s="22"/>
      <c r="AA70" s="122"/>
      <c r="AB70" s="122"/>
      <c r="AC70" s="22"/>
      <c r="AD70" s="22"/>
      <c r="AE70" s="22"/>
      <c r="AF70" s="22"/>
      <c r="AG70" s="22"/>
      <c r="AH70" s="122"/>
      <c r="AI70" s="110" t="str">
        <f t="shared" si="0"/>
        <v/>
      </c>
      <c r="AJ70" s="110" t="str">
        <f t="shared" si="1"/>
        <v/>
      </c>
      <c r="AK70" s="110" t="str">
        <f t="shared" si="2"/>
        <v/>
      </c>
      <c r="AL70" s="110" t="str">
        <f t="shared" si="3"/>
        <v/>
      </c>
    </row>
    <row r="71" spans="6:38" x14ac:dyDescent="0.2">
      <c r="F71" s="1"/>
      <c r="N71" s="122"/>
      <c r="O71" s="22"/>
      <c r="P71" s="22"/>
      <c r="Q71" s="22"/>
      <c r="R71" s="22"/>
      <c r="S71" s="22"/>
      <c r="T71" s="122"/>
      <c r="U71" s="122"/>
      <c r="V71" s="22"/>
      <c r="W71" s="22"/>
      <c r="X71" s="22"/>
      <c r="Y71" s="22"/>
      <c r="Z71" s="22"/>
      <c r="AA71" s="122"/>
      <c r="AB71" s="122"/>
      <c r="AC71" s="22"/>
      <c r="AD71" s="22"/>
      <c r="AE71" s="22"/>
      <c r="AF71" s="22"/>
      <c r="AG71" s="22"/>
      <c r="AH71" s="122"/>
      <c r="AI71" s="110" t="str">
        <f t="shared" si="0"/>
        <v/>
      </c>
      <c r="AJ71" s="110" t="str">
        <f t="shared" si="1"/>
        <v/>
      </c>
      <c r="AK71" s="110" t="str">
        <f t="shared" si="2"/>
        <v/>
      </c>
      <c r="AL71" s="110" t="str">
        <f t="shared" si="3"/>
        <v/>
      </c>
    </row>
    <row r="72" spans="6:38" x14ac:dyDescent="0.2">
      <c r="F72" s="1"/>
      <c r="N72" s="122"/>
      <c r="O72" s="22"/>
      <c r="P72" s="22"/>
      <c r="Q72" s="22"/>
      <c r="R72" s="22"/>
      <c r="S72" s="22"/>
      <c r="T72" s="122"/>
      <c r="U72" s="122"/>
      <c r="V72" s="22"/>
      <c r="W72" s="22"/>
      <c r="X72" s="22"/>
      <c r="Y72" s="22"/>
      <c r="Z72" s="22"/>
      <c r="AA72" s="122"/>
      <c r="AB72" s="122"/>
      <c r="AC72" s="22"/>
      <c r="AD72" s="22"/>
      <c r="AE72" s="22"/>
      <c r="AF72" s="22"/>
      <c r="AG72" s="22"/>
      <c r="AH72" s="122"/>
      <c r="AI72" s="110" t="str">
        <f t="shared" ref="AI72:AI135" si="4">IF(F72&lt;&gt;0,F72,"")</f>
        <v/>
      </c>
      <c r="AJ72" s="110" t="str">
        <f t="shared" ref="AJ72:AJ135" si="5">IF(SUM(N72:AH72)&gt;0,SUM(N72:AH72),"")</f>
        <v/>
      </c>
      <c r="AK72" s="110" t="str">
        <f t="shared" ref="AK72:AK135" si="6">IF(F72&lt;&gt;0,F72,"")</f>
        <v/>
      </c>
      <c r="AL72" s="110" t="str">
        <f t="shared" ref="AL72:AL135" si="7">IF(COUNTA(N72:AH72)&gt;0,COUNTA(N72:AH72),"")</f>
        <v/>
      </c>
    </row>
    <row r="73" spans="6:38" x14ac:dyDescent="0.2">
      <c r="F73" s="1"/>
      <c r="N73" s="122"/>
      <c r="O73" s="22"/>
      <c r="P73" s="22"/>
      <c r="Q73" s="22"/>
      <c r="R73" s="22"/>
      <c r="S73" s="22"/>
      <c r="T73" s="122"/>
      <c r="U73" s="122"/>
      <c r="V73" s="22"/>
      <c r="W73" s="22"/>
      <c r="X73" s="22"/>
      <c r="Y73" s="22"/>
      <c r="Z73" s="22"/>
      <c r="AA73" s="122"/>
      <c r="AB73" s="122"/>
      <c r="AC73" s="22"/>
      <c r="AD73" s="22"/>
      <c r="AE73" s="22"/>
      <c r="AF73" s="22"/>
      <c r="AG73" s="22"/>
      <c r="AH73" s="122"/>
      <c r="AI73" s="110" t="str">
        <f t="shared" si="4"/>
        <v/>
      </c>
      <c r="AJ73" s="110" t="str">
        <f t="shared" si="5"/>
        <v/>
      </c>
      <c r="AK73" s="110" t="str">
        <f t="shared" si="6"/>
        <v/>
      </c>
      <c r="AL73" s="110" t="str">
        <f t="shared" si="7"/>
        <v/>
      </c>
    </row>
    <row r="74" spans="6:38" x14ac:dyDescent="0.2">
      <c r="F74" s="1"/>
      <c r="N74" s="122"/>
      <c r="O74" s="22"/>
      <c r="P74" s="22"/>
      <c r="Q74" s="22"/>
      <c r="R74" s="22"/>
      <c r="S74" s="22"/>
      <c r="T74" s="122"/>
      <c r="U74" s="122"/>
      <c r="V74" s="22"/>
      <c r="W74" s="22"/>
      <c r="X74" s="22"/>
      <c r="Y74" s="22"/>
      <c r="Z74" s="22"/>
      <c r="AA74" s="122"/>
      <c r="AB74" s="122"/>
      <c r="AC74" s="22"/>
      <c r="AD74" s="22"/>
      <c r="AE74" s="22"/>
      <c r="AF74" s="22"/>
      <c r="AG74" s="22"/>
      <c r="AH74" s="122"/>
      <c r="AI74" s="110" t="str">
        <f t="shared" si="4"/>
        <v/>
      </c>
      <c r="AJ74" s="110" t="str">
        <f t="shared" si="5"/>
        <v/>
      </c>
      <c r="AK74" s="110" t="str">
        <f t="shared" si="6"/>
        <v/>
      </c>
      <c r="AL74" s="110" t="str">
        <f t="shared" si="7"/>
        <v/>
      </c>
    </row>
    <row r="75" spans="6:38" x14ac:dyDescent="0.2">
      <c r="F75" s="1"/>
      <c r="N75" s="122"/>
      <c r="O75" s="22"/>
      <c r="P75" s="22"/>
      <c r="Q75" s="22"/>
      <c r="R75" s="22"/>
      <c r="S75" s="22"/>
      <c r="T75" s="122"/>
      <c r="U75" s="122"/>
      <c r="V75" s="22"/>
      <c r="W75" s="22"/>
      <c r="X75" s="22"/>
      <c r="Y75" s="22"/>
      <c r="Z75" s="22"/>
      <c r="AA75" s="122"/>
      <c r="AB75" s="122"/>
      <c r="AC75" s="22"/>
      <c r="AD75" s="22"/>
      <c r="AE75" s="22"/>
      <c r="AF75" s="22"/>
      <c r="AG75" s="22"/>
      <c r="AH75" s="122"/>
      <c r="AI75" s="110" t="str">
        <f t="shared" si="4"/>
        <v/>
      </c>
      <c r="AJ75" s="110" t="str">
        <f t="shared" si="5"/>
        <v/>
      </c>
      <c r="AK75" s="110" t="str">
        <f t="shared" si="6"/>
        <v/>
      </c>
      <c r="AL75" s="110" t="str">
        <f t="shared" si="7"/>
        <v/>
      </c>
    </row>
    <row r="76" spans="6:38" x14ac:dyDescent="0.2">
      <c r="F76" s="1"/>
      <c r="N76" s="122"/>
      <c r="O76" s="22"/>
      <c r="P76" s="22"/>
      <c r="Q76" s="22"/>
      <c r="R76" s="22"/>
      <c r="S76" s="22"/>
      <c r="T76" s="122"/>
      <c r="U76" s="122"/>
      <c r="V76" s="22"/>
      <c r="W76" s="22"/>
      <c r="X76" s="22"/>
      <c r="Y76" s="22"/>
      <c r="Z76" s="22"/>
      <c r="AA76" s="122"/>
      <c r="AB76" s="122"/>
      <c r="AC76" s="22"/>
      <c r="AD76" s="22"/>
      <c r="AE76" s="22"/>
      <c r="AF76" s="22"/>
      <c r="AG76" s="22"/>
      <c r="AH76" s="122"/>
      <c r="AI76" s="110" t="str">
        <f t="shared" si="4"/>
        <v/>
      </c>
      <c r="AJ76" s="110" t="str">
        <f t="shared" si="5"/>
        <v/>
      </c>
      <c r="AK76" s="110" t="str">
        <f t="shared" si="6"/>
        <v/>
      </c>
      <c r="AL76" s="110" t="str">
        <f t="shared" si="7"/>
        <v/>
      </c>
    </row>
    <row r="77" spans="6:38" x14ac:dyDescent="0.2">
      <c r="F77" s="1"/>
      <c r="N77" s="122"/>
      <c r="O77" s="22"/>
      <c r="P77" s="22"/>
      <c r="Q77" s="22"/>
      <c r="R77" s="22"/>
      <c r="S77" s="22"/>
      <c r="T77" s="122"/>
      <c r="U77" s="122"/>
      <c r="V77" s="22"/>
      <c r="W77" s="22"/>
      <c r="X77" s="22"/>
      <c r="Y77" s="22"/>
      <c r="Z77" s="22"/>
      <c r="AA77" s="122"/>
      <c r="AB77" s="122"/>
      <c r="AC77" s="22"/>
      <c r="AD77" s="22"/>
      <c r="AE77" s="22"/>
      <c r="AF77" s="22"/>
      <c r="AG77" s="22"/>
      <c r="AH77" s="122"/>
      <c r="AI77" s="110" t="str">
        <f t="shared" si="4"/>
        <v/>
      </c>
      <c r="AJ77" s="110" t="str">
        <f t="shared" si="5"/>
        <v/>
      </c>
      <c r="AK77" s="110" t="str">
        <f t="shared" si="6"/>
        <v/>
      </c>
      <c r="AL77" s="110" t="str">
        <f t="shared" si="7"/>
        <v/>
      </c>
    </row>
    <row r="78" spans="6:38" x14ac:dyDescent="0.2">
      <c r="F78" s="1"/>
      <c r="N78" s="122"/>
      <c r="O78" s="22"/>
      <c r="P78" s="22"/>
      <c r="Q78" s="22"/>
      <c r="R78" s="22"/>
      <c r="S78" s="22"/>
      <c r="T78" s="122"/>
      <c r="U78" s="122"/>
      <c r="V78" s="22"/>
      <c r="W78" s="22"/>
      <c r="X78" s="22"/>
      <c r="Y78" s="22"/>
      <c r="Z78" s="22"/>
      <c r="AA78" s="122"/>
      <c r="AB78" s="122"/>
      <c r="AC78" s="22"/>
      <c r="AD78" s="22"/>
      <c r="AE78" s="22"/>
      <c r="AF78" s="22"/>
      <c r="AG78" s="22"/>
      <c r="AH78" s="122"/>
      <c r="AI78" s="110" t="str">
        <f t="shared" si="4"/>
        <v/>
      </c>
      <c r="AJ78" s="110" t="str">
        <f t="shared" si="5"/>
        <v/>
      </c>
      <c r="AK78" s="110" t="str">
        <f t="shared" si="6"/>
        <v/>
      </c>
      <c r="AL78" s="110" t="str">
        <f t="shared" si="7"/>
        <v/>
      </c>
    </row>
    <row r="79" spans="6:38" x14ac:dyDescent="0.2">
      <c r="F79" s="1"/>
      <c r="N79" s="122"/>
      <c r="O79" s="22"/>
      <c r="P79" s="22"/>
      <c r="Q79" s="22"/>
      <c r="R79" s="22"/>
      <c r="S79" s="22"/>
      <c r="T79" s="122"/>
      <c r="U79" s="122"/>
      <c r="V79" s="22"/>
      <c r="W79" s="22"/>
      <c r="X79" s="22"/>
      <c r="Y79" s="22"/>
      <c r="Z79" s="22"/>
      <c r="AA79" s="122"/>
      <c r="AB79" s="122"/>
      <c r="AC79" s="22"/>
      <c r="AD79" s="22"/>
      <c r="AE79" s="22"/>
      <c r="AF79" s="22"/>
      <c r="AG79" s="22"/>
      <c r="AH79" s="122"/>
      <c r="AI79" s="110" t="str">
        <f t="shared" si="4"/>
        <v/>
      </c>
      <c r="AJ79" s="110" t="str">
        <f t="shared" si="5"/>
        <v/>
      </c>
      <c r="AK79" s="110" t="str">
        <f t="shared" si="6"/>
        <v/>
      </c>
      <c r="AL79" s="110" t="str">
        <f t="shared" si="7"/>
        <v/>
      </c>
    </row>
    <row r="80" spans="6:38" x14ac:dyDescent="0.2">
      <c r="F80" s="1"/>
      <c r="N80" s="122"/>
      <c r="O80" s="22"/>
      <c r="P80" s="22"/>
      <c r="Q80" s="22"/>
      <c r="R80" s="22"/>
      <c r="S80" s="22"/>
      <c r="T80" s="122"/>
      <c r="U80" s="122"/>
      <c r="V80" s="22"/>
      <c r="W80" s="22"/>
      <c r="X80" s="22"/>
      <c r="Y80" s="22"/>
      <c r="Z80" s="22"/>
      <c r="AA80" s="122"/>
      <c r="AB80" s="122"/>
      <c r="AC80" s="22"/>
      <c r="AD80" s="22"/>
      <c r="AE80" s="22"/>
      <c r="AF80" s="22"/>
      <c r="AG80" s="22"/>
      <c r="AH80" s="122"/>
      <c r="AI80" s="110" t="str">
        <f t="shared" si="4"/>
        <v/>
      </c>
      <c r="AJ80" s="110" t="str">
        <f t="shared" si="5"/>
        <v/>
      </c>
      <c r="AK80" s="110" t="str">
        <f t="shared" si="6"/>
        <v/>
      </c>
      <c r="AL80" s="110" t="str">
        <f t="shared" si="7"/>
        <v/>
      </c>
    </row>
    <row r="81" spans="2:38" x14ac:dyDescent="0.2">
      <c r="F81" s="1"/>
      <c r="N81" s="122"/>
      <c r="O81" s="22"/>
      <c r="P81" s="22"/>
      <c r="Q81" s="22"/>
      <c r="R81" s="22"/>
      <c r="S81" s="22"/>
      <c r="T81" s="122"/>
      <c r="U81" s="122"/>
      <c r="V81" s="22"/>
      <c r="W81" s="22"/>
      <c r="X81" s="22"/>
      <c r="Y81" s="22"/>
      <c r="Z81" s="22"/>
      <c r="AA81" s="122"/>
      <c r="AB81" s="122"/>
      <c r="AC81" s="22"/>
      <c r="AD81" s="22"/>
      <c r="AE81" s="22"/>
      <c r="AF81" s="22"/>
      <c r="AG81" s="22"/>
      <c r="AH81" s="122"/>
      <c r="AI81" s="110" t="str">
        <f t="shared" si="4"/>
        <v/>
      </c>
      <c r="AJ81" s="110" t="str">
        <f t="shared" si="5"/>
        <v/>
      </c>
      <c r="AK81" s="110" t="str">
        <f t="shared" si="6"/>
        <v/>
      </c>
      <c r="AL81" s="110" t="str">
        <f t="shared" si="7"/>
        <v/>
      </c>
    </row>
    <row r="82" spans="2:38" s="109" customFormat="1" x14ac:dyDescent="0.2">
      <c r="B82" s="110"/>
      <c r="C82" s="110"/>
      <c r="D82" s="110"/>
      <c r="E82" s="110"/>
      <c r="F82" s="1"/>
      <c r="G82" s="110"/>
      <c r="N82" s="122"/>
      <c r="O82" s="22"/>
      <c r="P82" s="22"/>
      <c r="Q82" s="22"/>
      <c r="R82" s="22"/>
      <c r="S82" s="22"/>
      <c r="T82" s="122"/>
      <c r="U82" s="122"/>
      <c r="V82" s="22"/>
      <c r="W82" s="22"/>
      <c r="X82" s="22"/>
      <c r="Y82" s="22"/>
      <c r="Z82" s="22"/>
      <c r="AA82" s="122"/>
      <c r="AB82" s="122"/>
      <c r="AC82" s="22"/>
      <c r="AD82" s="22"/>
      <c r="AE82" s="22"/>
      <c r="AF82" s="22"/>
      <c r="AG82" s="22"/>
      <c r="AH82" s="122"/>
      <c r="AI82" s="110" t="str">
        <f t="shared" si="4"/>
        <v/>
      </c>
      <c r="AJ82" s="110" t="str">
        <f t="shared" si="5"/>
        <v/>
      </c>
      <c r="AK82" s="110" t="str">
        <f t="shared" si="6"/>
        <v/>
      </c>
      <c r="AL82" s="110" t="str">
        <f t="shared" si="7"/>
        <v/>
      </c>
    </row>
    <row r="83" spans="2:38" s="109" customFormat="1" x14ac:dyDescent="0.2">
      <c r="B83" s="110"/>
      <c r="C83" s="110"/>
      <c r="D83" s="110"/>
      <c r="E83" s="110"/>
      <c r="F83" s="1"/>
      <c r="G83" s="110"/>
      <c r="N83" s="122"/>
      <c r="O83" s="22"/>
      <c r="P83" s="22"/>
      <c r="Q83" s="22"/>
      <c r="R83" s="22"/>
      <c r="S83" s="22"/>
      <c r="T83" s="122"/>
      <c r="U83" s="122"/>
      <c r="V83" s="22"/>
      <c r="W83" s="22"/>
      <c r="X83" s="22"/>
      <c r="Y83" s="22"/>
      <c r="Z83" s="22"/>
      <c r="AA83" s="122"/>
      <c r="AB83" s="122"/>
      <c r="AC83" s="22"/>
      <c r="AD83" s="22"/>
      <c r="AE83" s="22"/>
      <c r="AF83" s="22"/>
      <c r="AG83" s="22"/>
      <c r="AH83" s="122"/>
      <c r="AI83" s="110" t="str">
        <f t="shared" si="4"/>
        <v/>
      </c>
      <c r="AJ83" s="110" t="str">
        <f t="shared" si="5"/>
        <v/>
      </c>
      <c r="AK83" s="110" t="str">
        <f t="shared" si="6"/>
        <v/>
      </c>
      <c r="AL83" s="110" t="str">
        <f t="shared" si="7"/>
        <v/>
      </c>
    </row>
    <row r="84" spans="2:38" s="109" customFormat="1" x14ac:dyDescent="0.2">
      <c r="B84" s="110"/>
      <c r="C84" s="110"/>
      <c r="D84" s="110"/>
      <c r="E84" s="110"/>
      <c r="F84" s="1"/>
      <c r="G84" s="110"/>
      <c r="N84" s="122"/>
      <c r="O84" s="22"/>
      <c r="P84" s="22"/>
      <c r="Q84" s="22"/>
      <c r="R84" s="22"/>
      <c r="S84" s="22"/>
      <c r="T84" s="122"/>
      <c r="U84" s="122"/>
      <c r="V84" s="22"/>
      <c r="W84" s="22"/>
      <c r="X84" s="22"/>
      <c r="Y84" s="22"/>
      <c r="Z84" s="22"/>
      <c r="AA84" s="122"/>
      <c r="AB84" s="122"/>
      <c r="AC84" s="22"/>
      <c r="AD84" s="22"/>
      <c r="AE84" s="22"/>
      <c r="AF84" s="22"/>
      <c r="AG84" s="22"/>
      <c r="AH84" s="122"/>
      <c r="AI84" s="110" t="str">
        <f t="shared" si="4"/>
        <v/>
      </c>
      <c r="AJ84" s="110" t="str">
        <f t="shared" si="5"/>
        <v/>
      </c>
      <c r="AK84" s="110" t="str">
        <f t="shared" si="6"/>
        <v/>
      </c>
      <c r="AL84" s="110" t="str">
        <f t="shared" si="7"/>
        <v/>
      </c>
    </row>
    <row r="85" spans="2:38" s="109" customFormat="1" x14ac:dyDescent="0.2">
      <c r="B85" s="110"/>
      <c r="C85" s="110"/>
      <c r="D85" s="110"/>
      <c r="E85" s="110"/>
      <c r="F85" s="1"/>
      <c r="G85" s="110"/>
      <c r="N85" s="122"/>
      <c r="O85" s="22"/>
      <c r="P85" s="22"/>
      <c r="Q85" s="22"/>
      <c r="R85" s="22"/>
      <c r="S85" s="22"/>
      <c r="T85" s="122"/>
      <c r="U85" s="122"/>
      <c r="V85" s="22"/>
      <c r="W85" s="22"/>
      <c r="X85" s="22"/>
      <c r="Y85" s="22"/>
      <c r="Z85" s="22"/>
      <c r="AA85" s="122"/>
      <c r="AB85" s="122"/>
      <c r="AC85" s="22"/>
      <c r="AD85" s="22"/>
      <c r="AE85" s="22"/>
      <c r="AF85" s="22"/>
      <c r="AG85" s="22"/>
      <c r="AH85" s="122"/>
      <c r="AI85" s="110" t="str">
        <f t="shared" si="4"/>
        <v/>
      </c>
      <c r="AJ85" s="110" t="str">
        <f t="shared" si="5"/>
        <v/>
      </c>
      <c r="AK85" s="110" t="str">
        <f t="shared" si="6"/>
        <v/>
      </c>
      <c r="AL85" s="110" t="str">
        <f t="shared" si="7"/>
        <v/>
      </c>
    </row>
    <row r="86" spans="2:38" s="109" customFormat="1" x14ac:dyDescent="0.2">
      <c r="B86" s="110"/>
      <c r="C86" s="110"/>
      <c r="D86" s="110"/>
      <c r="E86" s="110"/>
      <c r="F86" s="1"/>
      <c r="G86" s="110"/>
      <c r="N86" s="122"/>
      <c r="O86" s="22"/>
      <c r="P86" s="22"/>
      <c r="Q86" s="22"/>
      <c r="R86" s="22"/>
      <c r="S86" s="22"/>
      <c r="T86" s="122"/>
      <c r="U86" s="122"/>
      <c r="V86" s="22"/>
      <c r="W86" s="22"/>
      <c r="X86" s="22"/>
      <c r="Y86" s="22"/>
      <c r="Z86" s="22"/>
      <c r="AA86" s="122"/>
      <c r="AB86" s="122"/>
      <c r="AC86" s="22"/>
      <c r="AD86" s="22"/>
      <c r="AE86" s="22"/>
      <c r="AF86" s="22"/>
      <c r="AG86" s="22"/>
      <c r="AH86" s="122"/>
      <c r="AI86" s="110" t="str">
        <f t="shared" si="4"/>
        <v/>
      </c>
      <c r="AJ86" s="110" t="str">
        <f t="shared" si="5"/>
        <v/>
      </c>
      <c r="AK86" s="110" t="str">
        <f t="shared" si="6"/>
        <v/>
      </c>
      <c r="AL86" s="110" t="str">
        <f t="shared" si="7"/>
        <v/>
      </c>
    </row>
    <row r="87" spans="2:38" s="109" customFormat="1" x14ac:dyDescent="0.2">
      <c r="B87" s="110"/>
      <c r="C87" s="110"/>
      <c r="D87" s="110"/>
      <c r="E87" s="110"/>
      <c r="F87" s="1"/>
      <c r="G87" s="110"/>
      <c r="N87" s="122"/>
      <c r="O87" s="22"/>
      <c r="P87" s="22"/>
      <c r="Q87" s="22"/>
      <c r="R87" s="22"/>
      <c r="S87" s="22"/>
      <c r="T87" s="122"/>
      <c r="U87" s="122"/>
      <c r="V87" s="22"/>
      <c r="W87" s="22"/>
      <c r="X87" s="22"/>
      <c r="Y87" s="22"/>
      <c r="Z87" s="22"/>
      <c r="AA87" s="122"/>
      <c r="AB87" s="122"/>
      <c r="AC87" s="22"/>
      <c r="AD87" s="22"/>
      <c r="AE87" s="22"/>
      <c r="AF87" s="22"/>
      <c r="AG87" s="22"/>
      <c r="AH87" s="122"/>
      <c r="AI87" s="110" t="str">
        <f t="shared" si="4"/>
        <v/>
      </c>
      <c r="AJ87" s="110" t="str">
        <f t="shared" si="5"/>
        <v/>
      </c>
      <c r="AK87" s="110" t="str">
        <f t="shared" si="6"/>
        <v/>
      </c>
      <c r="AL87" s="110" t="str">
        <f t="shared" si="7"/>
        <v/>
      </c>
    </row>
    <row r="88" spans="2:38" s="109" customFormat="1" x14ac:dyDescent="0.2">
      <c r="B88" s="110"/>
      <c r="C88" s="110"/>
      <c r="D88" s="110"/>
      <c r="E88" s="110"/>
      <c r="F88" s="1"/>
      <c r="G88" s="110"/>
      <c r="N88" s="122"/>
      <c r="O88" s="22"/>
      <c r="P88" s="22"/>
      <c r="Q88" s="22"/>
      <c r="R88" s="22"/>
      <c r="S88" s="22"/>
      <c r="T88" s="122"/>
      <c r="U88" s="122"/>
      <c r="V88" s="22"/>
      <c r="W88" s="22"/>
      <c r="X88" s="22"/>
      <c r="Y88" s="22"/>
      <c r="Z88" s="22"/>
      <c r="AA88" s="122"/>
      <c r="AB88" s="122"/>
      <c r="AC88" s="22"/>
      <c r="AD88" s="22"/>
      <c r="AE88" s="22"/>
      <c r="AF88" s="22"/>
      <c r="AG88" s="22"/>
      <c r="AH88" s="122"/>
      <c r="AI88" s="110" t="str">
        <f t="shared" si="4"/>
        <v/>
      </c>
      <c r="AJ88" s="110" t="str">
        <f t="shared" si="5"/>
        <v/>
      </c>
      <c r="AK88" s="110" t="str">
        <f t="shared" si="6"/>
        <v/>
      </c>
      <c r="AL88" s="110" t="str">
        <f t="shared" si="7"/>
        <v/>
      </c>
    </row>
    <row r="89" spans="2:38" s="109" customFormat="1" x14ac:dyDescent="0.2">
      <c r="B89" s="110"/>
      <c r="C89" s="110"/>
      <c r="D89" s="110"/>
      <c r="E89" s="110"/>
      <c r="F89" s="1"/>
      <c r="G89" s="110"/>
      <c r="N89" s="122"/>
      <c r="O89" s="22"/>
      <c r="P89" s="22"/>
      <c r="Q89" s="22"/>
      <c r="R89" s="22"/>
      <c r="S89" s="22"/>
      <c r="T89" s="122"/>
      <c r="U89" s="122"/>
      <c r="V89" s="22"/>
      <c r="W89" s="22"/>
      <c r="X89" s="22"/>
      <c r="Y89" s="22"/>
      <c r="Z89" s="22"/>
      <c r="AA89" s="122"/>
      <c r="AB89" s="122"/>
      <c r="AC89" s="22"/>
      <c r="AD89" s="22"/>
      <c r="AE89" s="22"/>
      <c r="AF89" s="22"/>
      <c r="AG89" s="22"/>
      <c r="AH89" s="122"/>
      <c r="AI89" s="110" t="str">
        <f t="shared" si="4"/>
        <v/>
      </c>
      <c r="AJ89" s="110" t="str">
        <f t="shared" si="5"/>
        <v/>
      </c>
      <c r="AK89" s="110" t="str">
        <f t="shared" si="6"/>
        <v/>
      </c>
      <c r="AL89" s="110" t="str">
        <f t="shared" si="7"/>
        <v/>
      </c>
    </row>
    <row r="90" spans="2:38" s="109" customFormat="1" x14ac:dyDescent="0.2">
      <c r="B90" s="110"/>
      <c r="C90" s="110"/>
      <c r="D90" s="110"/>
      <c r="E90" s="110"/>
      <c r="F90" s="1"/>
      <c r="G90" s="110"/>
      <c r="N90" s="122"/>
      <c r="O90" s="22"/>
      <c r="P90" s="22"/>
      <c r="Q90" s="22"/>
      <c r="R90" s="22"/>
      <c r="S90" s="22"/>
      <c r="T90" s="122"/>
      <c r="U90" s="122"/>
      <c r="V90" s="22"/>
      <c r="W90" s="22"/>
      <c r="X90" s="22"/>
      <c r="Y90" s="22"/>
      <c r="Z90" s="22"/>
      <c r="AA90" s="122"/>
      <c r="AB90" s="122"/>
      <c r="AC90" s="22"/>
      <c r="AD90" s="22"/>
      <c r="AE90" s="22"/>
      <c r="AF90" s="22"/>
      <c r="AG90" s="22"/>
      <c r="AH90" s="122"/>
      <c r="AI90" s="110" t="str">
        <f t="shared" si="4"/>
        <v/>
      </c>
      <c r="AJ90" s="110" t="str">
        <f t="shared" si="5"/>
        <v/>
      </c>
      <c r="AK90" s="110" t="str">
        <f t="shared" si="6"/>
        <v/>
      </c>
      <c r="AL90" s="110" t="str">
        <f t="shared" si="7"/>
        <v/>
      </c>
    </row>
    <row r="91" spans="2:38" x14ac:dyDescent="0.2">
      <c r="F91" s="1"/>
      <c r="N91" s="122"/>
      <c r="O91" s="22"/>
      <c r="P91" s="22"/>
      <c r="Q91" s="22"/>
      <c r="R91" s="22"/>
      <c r="S91" s="22"/>
      <c r="T91" s="122"/>
      <c r="U91" s="122"/>
      <c r="V91" s="22"/>
      <c r="W91" s="22"/>
      <c r="X91" s="22"/>
      <c r="Y91" s="22"/>
      <c r="Z91" s="22"/>
      <c r="AA91" s="122"/>
      <c r="AB91" s="122"/>
      <c r="AC91" s="22"/>
      <c r="AD91" s="22"/>
      <c r="AE91" s="22"/>
      <c r="AF91" s="22"/>
      <c r="AG91" s="22"/>
      <c r="AH91" s="122"/>
      <c r="AI91" s="110" t="str">
        <f t="shared" si="4"/>
        <v/>
      </c>
      <c r="AJ91" s="110" t="str">
        <f t="shared" si="5"/>
        <v/>
      </c>
      <c r="AK91" s="110" t="str">
        <f t="shared" si="6"/>
        <v/>
      </c>
      <c r="AL91" s="110" t="str">
        <f t="shared" si="7"/>
        <v/>
      </c>
    </row>
    <row r="92" spans="2:38" x14ac:dyDescent="0.2">
      <c r="F92" s="1"/>
      <c r="N92" s="122"/>
      <c r="O92" s="22"/>
      <c r="P92" s="22"/>
      <c r="Q92" s="22"/>
      <c r="R92" s="22"/>
      <c r="S92" s="22"/>
      <c r="T92" s="122"/>
      <c r="U92" s="122"/>
      <c r="V92" s="22"/>
      <c r="W92" s="22"/>
      <c r="X92" s="22"/>
      <c r="Y92" s="22"/>
      <c r="Z92" s="22"/>
      <c r="AA92" s="122"/>
      <c r="AB92" s="122"/>
      <c r="AC92" s="22"/>
      <c r="AD92" s="22"/>
      <c r="AE92" s="22"/>
      <c r="AF92" s="22"/>
      <c r="AG92" s="22"/>
      <c r="AH92" s="122"/>
      <c r="AI92" s="110" t="str">
        <f t="shared" si="4"/>
        <v/>
      </c>
      <c r="AJ92" s="110" t="str">
        <f t="shared" si="5"/>
        <v/>
      </c>
      <c r="AK92" s="110" t="str">
        <f t="shared" si="6"/>
        <v/>
      </c>
      <c r="AL92" s="110" t="str">
        <f t="shared" si="7"/>
        <v/>
      </c>
    </row>
    <row r="93" spans="2:38" x14ac:dyDescent="0.2">
      <c r="F93" s="1"/>
      <c r="N93" s="122"/>
      <c r="O93" s="22"/>
      <c r="P93" s="22"/>
      <c r="Q93" s="22"/>
      <c r="R93" s="22"/>
      <c r="S93" s="22"/>
      <c r="T93" s="122"/>
      <c r="U93" s="122"/>
      <c r="V93" s="22"/>
      <c r="W93" s="22"/>
      <c r="X93" s="22"/>
      <c r="Y93" s="22"/>
      <c r="Z93" s="22"/>
      <c r="AA93" s="122"/>
      <c r="AB93" s="122"/>
      <c r="AC93" s="22"/>
      <c r="AD93" s="22"/>
      <c r="AE93" s="22"/>
      <c r="AF93" s="22"/>
      <c r="AG93" s="22"/>
      <c r="AH93" s="122"/>
      <c r="AI93" s="110" t="str">
        <f t="shared" si="4"/>
        <v/>
      </c>
      <c r="AJ93" s="110" t="str">
        <f t="shared" si="5"/>
        <v/>
      </c>
      <c r="AK93" s="110" t="str">
        <f t="shared" si="6"/>
        <v/>
      </c>
      <c r="AL93" s="110" t="str">
        <f t="shared" si="7"/>
        <v/>
      </c>
    </row>
    <row r="94" spans="2:38" x14ac:dyDescent="0.2">
      <c r="F94" s="1"/>
      <c r="N94" s="122"/>
      <c r="O94" s="22"/>
      <c r="P94" s="22"/>
      <c r="Q94" s="22"/>
      <c r="R94" s="22"/>
      <c r="S94" s="22"/>
      <c r="T94" s="122"/>
      <c r="U94" s="122"/>
      <c r="V94" s="22"/>
      <c r="W94" s="22"/>
      <c r="X94" s="22"/>
      <c r="Y94" s="22"/>
      <c r="Z94" s="22"/>
      <c r="AA94" s="122"/>
      <c r="AB94" s="122"/>
      <c r="AC94" s="22"/>
      <c r="AD94" s="22"/>
      <c r="AE94" s="22"/>
      <c r="AF94" s="22"/>
      <c r="AG94" s="22"/>
      <c r="AH94" s="122"/>
      <c r="AI94" s="110" t="str">
        <f t="shared" si="4"/>
        <v/>
      </c>
      <c r="AJ94" s="110" t="str">
        <f t="shared" si="5"/>
        <v/>
      </c>
      <c r="AK94" s="110" t="str">
        <f t="shared" si="6"/>
        <v/>
      </c>
      <c r="AL94" s="110" t="str">
        <f t="shared" si="7"/>
        <v/>
      </c>
    </row>
    <row r="95" spans="2:38" x14ac:dyDescent="0.2">
      <c r="F95" s="1"/>
      <c r="N95" s="122"/>
      <c r="O95" s="22"/>
      <c r="P95" s="22"/>
      <c r="Q95" s="22"/>
      <c r="R95" s="22"/>
      <c r="S95" s="22"/>
      <c r="T95" s="122"/>
      <c r="U95" s="122"/>
      <c r="V95" s="22"/>
      <c r="W95" s="22"/>
      <c r="X95" s="22"/>
      <c r="Y95" s="22"/>
      <c r="Z95" s="22"/>
      <c r="AA95" s="122"/>
      <c r="AB95" s="122"/>
      <c r="AC95" s="22"/>
      <c r="AD95" s="22"/>
      <c r="AE95" s="22"/>
      <c r="AF95" s="22"/>
      <c r="AG95" s="22"/>
      <c r="AH95" s="122"/>
      <c r="AI95" s="110" t="str">
        <f t="shared" si="4"/>
        <v/>
      </c>
      <c r="AJ95" s="110" t="str">
        <f t="shared" si="5"/>
        <v/>
      </c>
      <c r="AK95" s="110" t="str">
        <f t="shared" si="6"/>
        <v/>
      </c>
      <c r="AL95" s="110" t="str">
        <f t="shared" si="7"/>
        <v/>
      </c>
    </row>
    <row r="96" spans="2:38" x14ac:dyDescent="0.2">
      <c r="F96" s="1"/>
      <c r="N96" s="122"/>
      <c r="O96" s="22"/>
      <c r="P96" s="22"/>
      <c r="Q96" s="22"/>
      <c r="R96" s="22"/>
      <c r="S96" s="22"/>
      <c r="T96" s="122"/>
      <c r="U96" s="122"/>
      <c r="V96" s="22"/>
      <c r="W96" s="22"/>
      <c r="X96" s="22"/>
      <c r="Y96" s="22"/>
      <c r="Z96" s="22"/>
      <c r="AA96" s="122"/>
      <c r="AB96" s="122"/>
      <c r="AC96" s="22"/>
      <c r="AD96" s="22"/>
      <c r="AE96" s="22"/>
      <c r="AF96" s="22"/>
      <c r="AG96" s="22"/>
      <c r="AH96" s="122"/>
      <c r="AI96" s="110" t="str">
        <f t="shared" si="4"/>
        <v/>
      </c>
      <c r="AJ96" s="110" t="str">
        <f t="shared" si="5"/>
        <v/>
      </c>
      <c r="AK96" s="110" t="str">
        <f t="shared" si="6"/>
        <v/>
      </c>
      <c r="AL96" s="110" t="str">
        <f t="shared" si="7"/>
        <v/>
      </c>
    </row>
    <row r="97" spans="6:38" x14ac:dyDescent="0.2">
      <c r="F97" s="1"/>
      <c r="N97" s="122"/>
      <c r="O97" s="22"/>
      <c r="P97" s="22"/>
      <c r="Q97" s="22"/>
      <c r="R97" s="22"/>
      <c r="S97" s="22"/>
      <c r="T97" s="122"/>
      <c r="U97" s="122"/>
      <c r="V97" s="22"/>
      <c r="W97" s="22"/>
      <c r="X97" s="22"/>
      <c r="Y97" s="22"/>
      <c r="Z97" s="22"/>
      <c r="AA97" s="122"/>
      <c r="AB97" s="122"/>
      <c r="AC97" s="22"/>
      <c r="AD97" s="22"/>
      <c r="AE97" s="22"/>
      <c r="AF97" s="22"/>
      <c r="AG97" s="22"/>
      <c r="AH97" s="122"/>
      <c r="AI97" s="110" t="str">
        <f t="shared" si="4"/>
        <v/>
      </c>
      <c r="AJ97" s="110" t="str">
        <f t="shared" si="5"/>
        <v/>
      </c>
      <c r="AK97" s="110" t="str">
        <f t="shared" si="6"/>
        <v/>
      </c>
      <c r="AL97" s="110" t="str">
        <f t="shared" si="7"/>
        <v/>
      </c>
    </row>
    <row r="98" spans="6:38" x14ac:dyDescent="0.2">
      <c r="F98" s="1"/>
      <c r="N98" s="122"/>
      <c r="O98" s="22"/>
      <c r="P98" s="22"/>
      <c r="Q98" s="22"/>
      <c r="R98" s="22"/>
      <c r="S98" s="22"/>
      <c r="T98" s="122"/>
      <c r="U98" s="122"/>
      <c r="V98" s="22"/>
      <c r="W98" s="22"/>
      <c r="X98" s="22"/>
      <c r="Y98" s="22"/>
      <c r="Z98" s="22"/>
      <c r="AA98" s="122"/>
      <c r="AB98" s="122"/>
      <c r="AC98" s="22"/>
      <c r="AD98" s="22"/>
      <c r="AE98" s="22"/>
      <c r="AF98" s="22"/>
      <c r="AG98" s="22"/>
      <c r="AH98" s="122"/>
      <c r="AI98" s="110" t="str">
        <f t="shared" si="4"/>
        <v/>
      </c>
      <c r="AJ98" s="110" t="str">
        <f t="shared" si="5"/>
        <v/>
      </c>
      <c r="AK98" s="110" t="str">
        <f t="shared" si="6"/>
        <v/>
      </c>
      <c r="AL98" s="110" t="str">
        <f t="shared" si="7"/>
        <v/>
      </c>
    </row>
    <row r="99" spans="6:38" x14ac:dyDescent="0.2">
      <c r="F99" s="1"/>
      <c r="N99" s="122"/>
      <c r="O99" s="22"/>
      <c r="P99" s="22"/>
      <c r="Q99" s="22"/>
      <c r="R99" s="22"/>
      <c r="S99" s="22"/>
      <c r="T99" s="122"/>
      <c r="U99" s="122"/>
      <c r="V99" s="22"/>
      <c r="W99" s="22"/>
      <c r="X99" s="22"/>
      <c r="Y99" s="22"/>
      <c r="Z99" s="22"/>
      <c r="AA99" s="122"/>
      <c r="AB99" s="122"/>
      <c r="AC99" s="22"/>
      <c r="AD99" s="22"/>
      <c r="AE99" s="22"/>
      <c r="AF99" s="22"/>
      <c r="AG99" s="22"/>
      <c r="AH99" s="122"/>
      <c r="AI99" s="110" t="str">
        <f t="shared" si="4"/>
        <v/>
      </c>
      <c r="AJ99" s="110" t="str">
        <f t="shared" si="5"/>
        <v/>
      </c>
      <c r="AK99" s="110" t="str">
        <f t="shared" si="6"/>
        <v/>
      </c>
      <c r="AL99" s="110" t="str">
        <f t="shared" si="7"/>
        <v/>
      </c>
    </row>
    <row r="100" spans="6:38" x14ac:dyDescent="0.2">
      <c r="F100" s="1"/>
      <c r="N100" s="122"/>
      <c r="O100" s="22"/>
      <c r="P100" s="22"/>
      <c r="Q100" s="22"/>
      <c r="R100" s="22"/>
      <c r="S100" s="22"/>
      <c r="T100" s="122"/>
      <c r="U100" s="122"/>
      <c r="V100" s="22"/>
      <c r="W100" s="22"/>
      <c r="X100" s="22"/>
      <c r="Y100" s="22"/>
      <c r="Z100" s="22"/>
      <c r="AA100" s="122"/>
      <c r="AB100" s="122"/>
      <c r="AC100" s="22"/>
      <c r="AD100" s="22"/>
      <c r="AE100" s="22"/>
      <c r="AF100" s="22"/>
      <c r="AG100" s="22"/>
      <c r="AH100" s="122"/>
      <c r="AI100" s="110" t="str">
        <f t="shared" si="4"/>
        <v/>
      </c>
      <c r="AJ100" s="110" t="str">
        <f t="shared" si="5"/>
        <v/>
      </c>
      <c r="AK100" s="110" t="str">
        <f t="shared" si="6"/>
        <v/>
      </c>
      <c r="AL100" s="110" t="str">
        <f t="shared" si="7"/>
        <v/>
      </c>
    </row>
    <row r="101" spans="6:38" x14ac:dyDescent="0.2">
      <c r="F101" s="1"/>
      <c r="N101" s="122"/>
      <c r="O101" s="22"/>
      <c r="P101" s="22"/>
      <c r="Q101" s="22"/>
      <c r="R101" s="22"/>
      <c r="S101" s="22"/>
      <c r="T101" s="122"/>
      <c r="U101" s="122"/>
      <c r="V101" s="22"/>
      <c r="W101" s="22"/>
      <c r="X101" s="22"/>
      <c r="Y101" s="22"/>
      <c r="Z101" s="22"/>
      <c r="AA101" s="122"/>
      <c r="AB101" s="122"/>
      <c r="AC101" s="22"/>
      <c r="AD101" s="22"/>
      <c r="AE101" s="22"/>
      <c r="AF101" s="22"/>
      <c r="AG101" s="22"/>
      <c r="AH101" s="122"/>
      <c r="AI101" s="110" t="str">
        <f t="shared" si="4"/>
        <v/>
      </c>
      <c r="AJ101" s="110" t="str">
        <f t="shared" si="5"/>
        <v/>
      </c>
      <c r="AK101" s="110" t="str">
        <f t="shared" si="6"/>
        <v/>
      </c>
      <c r="AL101" s="110" t="str">
        <f t="shared" si="7"/>
        <v/>
      </c>
    </row>
    <row r="102" spans="6:38" x14ac:dyDescent="0.2">
      <c r="F102" s="1"/>
      <c r="N102" s="122"/>
      <c r="O102" s="22"/>
      <c r="P102" s="22"/>
      <c r="Q102" s="22"/>
      <c r="R102" s="22"/>
      <c r="S102" s="22"/>
      <c r="T102" s="122"/>
      <c r="U102" s="122"/>
      <c r="V102" s="22"/>
      <c r="W102" s="22"/>
      <c r="X102" s="22"/>
      <c r="Y102" s="22"/>
      <c r="Z102" s="22"/>
      <c r="AA102" s="122"/>
      <c r="AB102" s="122"/>
      <c r="AC102" s="22"/>
      <c r="AD102" s="22"/>
      <c r="AE102" s="22"/>
      <c r="AF102" s="22"/>
      <c r="AG102" s="22"/>
      <c r="AH102" s="122"/>
      <c r="AI102" s="110" t="str">
        <f t="shared" si="4"/>
        <v/>
      </c>
      <c r="AJ102" s="110" t="str">
        <f t="shared" si="5"/>
        <v/>
      </c>
      <c r="AK102" s="110" t="str">
        <f t="shared" si="6"/>
        <v/>
      </c>
      <c r="AL102" s="110" t="str">
        <f t="shared" si="7"/>
        <v/>
      </c>
    </row>
    <row r="103" spans="6:38" x14ac:dyDescent="0.2">
      <c r="F103" s="1"/>
      <c r="N103" s="122"/>
      <c r="O103" s="22"/>
      <c r="P103" s="22"/>
      <c r="Q103" s="22"/>
      <c r="R103" s="22"/>
      <c r="S103" s="22"/>
      <c r="T103" s="122"/>
      <c r="U103" s="122"/>
      <c r="V103" s="22"/>
      <c r="W103" s="22"/>
      <c r="X103" s="22"/>
      <c r="Y103" s="22"/>
      <c r="Z103" s="22"/>
      <c r="AA103" s="122"/>
      <c r="AB103" s="122"/>
      <c r="AC103" s="22"/>
      <c r="AD103" s="22"/>
      <c r="AE103" s="22"/>
      <c r="AF103" s="22"/>
      <c r="AG103" s="22"/>
      <c r="AH103" s="122"/>
      <c r="AI103" s="110" t="str">
        <f t="shared" si="4"/>
        <v/>
      </c>
      <c r="AJ103" s="110" t="str">
        <f t="shared" si="5"/>
        <v/>
      </c>
      <c r="AK103" s="110" t="str">
        <f t="shared" si="6"/>
        <v/>
      </c>
      <c r="AL103" s="110" t="str">
        <f t="shared" si="7"/>
        <v/>
      </c>
    </row>
    <row r="104" spans="6:38" x14ac:dyDescent="0.2">
      <c r="F104" s="1"/>
      <c r="N104" s="122"/>
      <c r="O104" s="22"/>
      <c r="P104" s="22"/>
      <c r="Q104" s="22"/>
      <c r="R104" s="22"/>
      <c r="S104" s="22"/>
      <c r="T104" s="122"/>
      <c r="U104" s="122"/>
      <c r="V104" s="22"/>
      <c r="W104" s="22"/>
      <c r="X104" s="22"/>
      <c r="Y104" s="22"/>
      <c r="Z104" s="22"/>
      <c r="AA104" s="122"/>
      <c r="AB104" s="122"/>
      <c r="AC104" s="22"/>
      <c r="AD104" s="22"/>
      <c r="AE104" s="22"/>
      <c r="AF104" s="22"/>
      <c r="AG104" s="22"/>
      <c r="AH104" s="122"/>
      <c r="AI104" s="110" t="str">
        <f t="shared" si="4"/>
        <v/>
      </c>
      <c r="AJ104" s="110" t="str">
        <f t="shared" si="5"/>
        <v/>
      </c>
      <c r="AK104" s="110" t="str">
        <f t="shared" si="6"/>
        <v/>
      </c>
      <c r="AL104" s="110" t="str">
        <f t="shared" si="7"/>
        <v/>
      </c>
    </row>
    <row r="105" spans="6:38" x14ac:dyDescent="0.2">
      <c r="F105" s="1"/>
      <c r="N105" s="122"/>
      <c r="O105" s="22"/>
      <c r="P105" s="22"/>
      <c r="Q105" s="22"/>
      <c r="R105" s="22"/>
      <c r="S105" s="22"/>
      <c r="T105" s="122"/>
      <c r="U105" s="122"/>
      <c r="V105" s="22"/>
      <c r="W105" s="22"/>
      <c r="X105" s="22"/>
      <c r="Y105" s="22"/>
      <c r="Z105" s="22"/>
      <c r="AA105" s="122"/>
      <c r="AB105" s="122"/>
      <c r="AC105" s="22"/>
      <c r="AD105" s="22"/>
      <c r="AE105" s="22"/>
      <c r="AF105" s="22"/>
      <c r="AG105" s="22"/>
      <c r="AH105" s="122"/>
      <c r="AI105" s="110" t="str">
        <f t="shared" si="4"/>
        <v/>
      </c>
      <c r="AJ105" s="110" t="str">
        <f t="shared" si="5"/>
        <v/>
      </c>
      <c r="AK105" s="110" t="str">
        <f t="shared" si="6"/>
        <v/>
      </c>
      <c r="AL105" s="110" t="str">
        <f t="shared" si="7"/>
        <v/>
      </c>
    </row>
    <row r="106" spans="6:38" x14ac:dyDescent="0.2">
      <c r="F106" s="1"/>
      <c r="N106" s="122"/>
      <c r="O106" s="22"/>
      <c r="P106" s="22"/>
      <c r="Q106" s="22"/>
      <c r="R106" s="22"/>
      <c r="S106" s="22"/>
      <c r="T106" s="122"/>
      <c r="U106" s="122"/>
      <c r="V106" s="22"/>
      <c r="W106" s="22"/>
      <c r="X106" s="22"/>
      <c r="Y106" s="22"/>
      <c r="Z106" s="22"/>
      <c r="AA106" s="122"/>
      <c r="AB106" s="122"/>
      <c r="AC106" s="22"/>
      <c r="AD106" s="22"/>
      <c r="AE106" s="22"/>
      <c r="AF106" s="22"/>
      <c r="AG106" s="22"/>
      <c r="AH106" s="122"/>
      <c r="AI106" s="110" t="str">
        <f t="shared" si="4"/>
        <v/>
      </c>
      <c r="AJ106" s="110" t="str">
        <f t="shared" si="5"/>
        <v/>
      </c>
      <c r="AK106" s="110" t="str">
        <f t="shared" si="6"/>
        <v/>
      </c>
      <c r="AL106" s="110" t="str">
        <f t="shared" si="7"/>
        <v/>
      </c>
    </row>
    <row r="107" spans="6:38" x14ac:dyDescent="0.2">
      <c r="F107" s="1"/>
      <c r="N107" s="122"/>
      <c r="O107" s="22"/>
      <c r="P107" s="22"/>
      <c r="Q107" s="22"/>
      <c r="R107" s="22"/>
      <c r="S107" s="22"/>
      <c r="T107" s="122"/>
      <c r="U107" s="122"/>
      <c r="V107" s="22"/>
      <c r="W107" s="22"/>
      <c r="X107" s="22"/>
      <c r="Y107" s="22"/>
      <c r="Z107" s="22"/>
      <c r="AA107" s="122"/>
      <c r="AB107" s="122"/>
      <c r="AC107" s="22"/>
      <c r="AD107" s="22"/>
      <c r="AE107" s="22"/>
      <c r="AF107" s="22"/>
      <c r="AG107" s="22"/>
      <c r="AH107" s="122"/>
      <c r="AI107" s="110" t="str">
        <f t="shared" si="4"/>
        <v/>
      </c>
      <c r="AJ107" s="110" t="str">
        <f t="shared" si="5"/>
        <v/>
      </c>
      <c r="AK107" s="110" t="str">
        <f t="shared" si="6"/>
        <v/>
      </c>
      <c r="AL107" s="110" t="str">
        <f t="shared" si="7"/>
        <v/>
      </c>
    </row>
    <row r="108" spans="6:38" x14ac:dyDescent="0.2">
      <c r="F108" s="1"/>
      <c r="N108" s="122"/>
      <c r="O108" s="22"/>
      <c r="P108" s="22"/>
      <c r="Q108" s="22"/>
      <c r="R108" s="22"/>
      <c r="S108" s="22"/>
      <c r="T108" s="122"/>
      <c r="U108" s="122"/>
      <c r="V108" s="22"/>
      <c r="W108" s="22"/>
      <c r="X108" s="22"/>
      <c r="Y108" s="22"/>
      <c r="Z108" s="22"/>
      <c r="AA108" s="122"/>
      <c r="AB108" s="122"/>
      <c r="AC108" s="22"/>
      <c r="AD108" s="22"/>
      <c r="AE108" s="22"/>
      <c r="AF108" s="22"/>
      <c r="AG108" s="22"/>
      <c r="AH108" s="122"/>
      <c r="AI108" s="110" t="str">
        <f t="shared" si="4"/>
        <v/>
      </c>
      <c r="AJ108" s="110" t="str">
        <f t="shared" si="5"/>
        <v/>
      </c>
      <c r="AK108" s="110" t="str">
        <f t="shared" si="6"/>
        <v/>
      </c>
      <c r="AL108" s="110" t="str">
        <f t="shared" si="7"/>
        <v/>
      </c>
    </row>
    <row r="109" spans="6:38" x14ac:dyDescent="0.2">
      <c r="F109" s="1"/>
      <c r="N109" s="122"/>
      <c r="O109" s="22"/>
      <c r="P109" s="22"/>
      <c r="Q109" s="22"/>
      <c r="R109" s="22"/>
      <c r="S109" s="22"/>
      <c r="T109" s="122"/>
      <c r="U109" s="122"/>
      <c r="V109" s="22"/>
      <c r="W109" s="22"/>
      <c r="X109" s="22"/>
      <c r="Y109" s="22"/>
      <c r="Z109" s="22"/>
      <c r="AA109" s="122"/>
      <c r="AB109" s="122"/>
      <c r="AC109" s="22"/>
      <c r="AD109" s="22"/>
      <c r="AE109" s="22"/>
      <c r="AF109" s="22"/>
      <c r="AG109" s="22"/>
      <c r="AH109" s="122"/>
      <c r="AI109" s="110" t="str">
        <f t="shared" si="4"/>
        <v/>
      </c>
      <c r="AJ109" s="110" t="str">
        <f t="shared" si="5"/>
        <v/>
      </c>
      <c r="AK109" s="110" t="str">
        <f t="shared" si="6"/>
        <v/>
      </c>
      <c r="AL109" s="110" t="str">
        <f t="shared" si="7"/>
        <v/>
      </c>
    </row>
    <row r="110" spans="6:38" x14ac:dyDescent="0.2">
      <c r="F110" s="1"/>
      <c r="N110" s="122"/>
      <c r="O110" s="22"/>
      <c r="P110" s="22"/>
      <c r="Q110" s="22"/>
      <c r="R110" s="22"/>
      <c r="S110" s="22"/>
      <c r="T110" s="122"/>
      <c r="U110" s="122"/>
      <c r="V110" s="22"/>
      <c r="W110" s="22"/>
      <c r="X110" s="22"/>
      <c r="Y110" s="22"/>
      <c r="Z110" s="22"/>
      <c r="AA110" s="122"/>
      <c r="AB110" s="122"/>
      <c r="AC110" s="22"/>
      <c r="AD110" s="22"/>
      <c r="AE110" s="22"/>
      <c r="AF110" s="22"/>
      <c r="AG110" s="22"/>
      <c r="AH110" s="122"/>
      <c r="AI110" s="110" t="str">
        <f t="shared" si="4"/>
        <v/>
      </c>
      <c r="AJ110" s="110" t="str">
        <f t="shared" si="5"/>
        <v/>
      </c>
      <c r="AK110" s="110" t="str">
        <f t="shared" si="6"/>
        <v/>
      </c>
      <c r="AL110" s="110" t="str">
        <f t="shared" si="7"/>
        <v/>
      </c>
    </row>
    <row r="111" spans="6:38" x14ac:dyDescent="0.2">
      <c r="F111" s="1"/>
      <c r="N111" s="122"/>
      <c r="O111" s="22"/>
      <c r="P111" s="22"/>
      <c r="Q111" s="22"/>
      <c r="R111" s="22"/>
      <c r="S111" s="22"/>
      <c r="T111" s="122"/>
      <c r="U111" s="122"/>
      <c r="V111" s="22"/>
      <c r="W111" s="22"/>
      <c r="X111" s="22"/>
      <c r="Y111" s="22"/>
      <c r="Z111" s="22"/>
      <c r="AA111" s="122"/>
      <c r="AB111" s="122"/>
      <c r="AC111" s="22"/>
      <c r="AD111" s="22"/>
      <c r="AE111" s="22"/>
      <c r="AF111" s="22"/>
      <c r="AG111" s="22"/>
      <c r="AH111" s="122"/>
      <c r="AI111" s="110" t="str">
        <f t="shared" si="4"/>
        <v/>
      </c>
      <c r="AJ111" s="110" t="str">
        <f t="shared" si="5"/>
        <v/>
      </c>
      <c r="AK111" s="110" t="str">
        <f t="shared" si="6"/>
        <v/>
      </c>
      <c r="AL111" s="110" t="str">
        <f t="shared" si="7"/>
        <v/>
      </c>
    </row>
    <row r="112" spans="6:38" x14ac:dyDescent="0.2">
      <c r="F112" s="1"/>
      <c r="N112" s="122"/>
      <c r="O112" s="22"/>
      <c r="P112" s="22"/>
      <c r="Q112" s="22"/>
      <c r="R112" s="22"/>
      <c r="S112" s="22"/>
      <c r="T112" s="122"/>
      <c r="U112" s="122"/>
      <c r="V112" s="22"/>
      <c r="W112" s="22"/>
      <c r="X112" s="22"/>
      <c r="Y112" s="22"/>
      <c r="Z112" s="22"/>
      <c r="AA112" s="122"/>
      <c r="AB112" s="122"/>
      <c r="AC112" s="22"/>
      <c r="AD112" s="22"/>
      <c r="AE112" s="22"/>
      <c r="AF112" s="22"/>
      <c r="AG112" s="22"/>
      <c r="AH112" s="122"/>
      <c r="AI112" s="110" t="str">
        <f t="shared" si="4"/>
        <v/>
      </c>
      <c r="AJ112" s="110" t="str">
        <f t="shared" si="5"/>
        <v/>
      </c>
      <c r="AK112" s="110" t="str">
        <f t="shared" si="6"/>
        <v/>
      </c>
      <c r="AL112" s="110" t="str">
        <f t="shared" si="7"/>
        <v/>
      </c>
    </row>
    <row r="113" spans="6:38" x14ac:dyDescent="0.2">
      <c r="F113" s="1"/>
      <c r="N113" s="122"/>
      <c r="O113" s="22"/>
      <c r="P113" s="22"/>
      <c r="Q113" s="22"/>
      <c r="R113" s="22"/>
      <c r="S113" s="22"/>
      <c r="T113" s="122"/>
      <c r="U113" s="122"/>
      <c r="V113" s="22"/>
      <c r="W113" s="22"/>
      <c r="X113" s="22"/>
      <c r="Y113" s="22"/>
      <c r="Z113" s="22"/>
      <c r="AA113" s="122"/>
      <c r="AB113" s="122"/>
      <c r="AC113" s="22"/>
      <c r="AD113" s="22"/>
      <c r="AE113" s="22"/>
      <c r="AF113" s="22"/>
      <c r="AG113" s="22"/>
      <c r="AH113" s="122"/>
      <c r="AI113" s="110" t="str">
        <f t="shared" si="4"/>
        <v/>
      </c>
      <c r="AJ113" s="110" t="str">
        <f t="shared" si="5"/>
        <v/>
      </c>
      <c r="AK113" s="110" t="str">
        <f t="shared" si="6"/>
        <v/>
      </c>
      <c r="AL113" s="110" t="str">
        <f t="shared" si="7"/>
        <v/>
      </c>
    </row>
    <row r="114" spans="6:38" x14ac:dyDescent="0.2">
      <c r="F114" s="1"/>
      <c r="N114" s="122"/>
      <c r="O114" s="22"/>
      <c r="P114" s="22"/>
      <c r="Q114" s="22"/>
      <c r="R114" s="22"/>
      <c r="S114" s="22"/>
      <c r="T114" s="122"/>
      <c r="U114" s="122"/>
      <c r="V114" s="22"/>
      <c r="W114" s="22"/>
      <c r="X114" s="22"/>
      <c r="Y114" s="22"/>
      <c r="Z114" s="22"/>
      <c r="AA114" s="122"/>
      <c r="AB114" s="122"/>
      <c r="AC114" s="22"/>
      <c r="AD114" s="22"/>
      <c r="AE114" s="22"/>
      <c r="AF114" s="22"/>
      <c r="AG114" s="22"/>
      <c r="AH114" s="122"/>
      <c r="AI114" s="110" t="str">
        <f t="shared" si="4"/>
        <v/>
      </c>
      <c r="AJ114" s="110" t="str">
        <f t="shared" si="5"/>
        <v/>
      </c>
      <c r="AK114" s="110" t="str">
        <f t="shared" si="6"/>
        <v/>
      </c>
      <c r="AL114" s="110" t="str">
        <f t="shared" si="7"/>
        <v/>
      </c>
    </row>
    <row r="115" spans="6:38" x14ac:dyDescent="0.2">
      <c r="F115" s="1"/>
      <c r="N115" s="122"/>
      <c r="O115" s="22"/>
      <c r="P115" s="22"/>
      <c r="Q115" s="22"/>
      <c r="R115" s="22"/>
      <c r="S115" s="22"/>
      <c r="T115" s="122"/>
      <c r="U115" s="122"/>
      <c r="V115" s="22"/>
      <c r="W115" s="22"/>
      <c r="X115" s="22"/>
      <c r="Y115" s="22"/>
      <c r="Z115" s="22"/>
      <c r="AA115" s="122"/>
      <c r="AB115" s="122"/>
      <c r="AC115" s="22"/>
      <c r="AD115" s="22"/>
      <c r="AE115" s="22"/>
      <c r="AF115" s="22"/>
      <c r="AG115" s="22"/>
      <c r="AH115" s="122"/>
      <c r="AI115" s="110" t="str">
        <f t="shared" si="4"/>
        <v/>
      </c>
      <c r="AJ115" s="110" t="str">
        <f t="shared" si="5"/>
        <v/>
      </c>
      <c r="AK115" s="110" t="str">
        <f t="shared" si="6"/>
        <v/>
      </c>
      <c r="AL115" s="110" t="str">
        <f t="shared" si="7"/>
        <v/>
      </c>
    </row>
    <row r="116" spans="6:38" x14ac:dyDescent="0.2">
      <c r="F116" s="1"/>
      <c r="N116" s="122"/>
      <c r="O116" s="22"/>
      <c r="P116" s="22"/>
      <c r="Q116" s="22"/>
      <c r="R116" s="22"/>
      <c r="S116" s="22"/>
      <c r="T116" s="122"/>
      <c r="U116" s="122"/>
      <c r="V116" s="22"/>
      <c r="W116" s="22"/>
      <c r="X116" s="22"/>
      <c r="Y116" s="22"/>
      <c r="Z116" s="22"/>
      <c r="AA116" s="122"/>
      <c r="AB116" s="122"/>
      <c r="AC116" s="22"/>
      <c r="AD116" s="22"/>
      <c r="AE116" s="22"/>
      <c r="AF116" s="22"/>
      <c r="AG116" s="22"/>
      <c r="AH116" s="122"/>
      <c r="AI116" s="110" t="str">
        <f t="shared" si="4"/>
        <v/>
      </c>
      <c r="AJ116" s="110" t="str">
        <f t="shared" si="5"/>
        <v/>
      </c>
      <c r="AK116" s="110" t="str">
        <f t="shared" si="6"/>
        <v/>
      </c>
      <c r="AL116" s="110" t="str">
        <f t="shared" si="7"/>
        <v/>
      </c>
    </row>
    <row r="117" spans="6:38" x14ac:dyDescent="0.2">
      <c r="F117" s="1"/>
      <c r="N117" s="122"/>
      <c r="O117" s="22"/>
      <c r="P117" s="22"/>
      <c r="Q117" s="22"/>
      <c r="R117" s="22"/>
      <c r="S117" s="22"/>
      <c r="T117" s="122"/>
      <c r="U117" s="122"/>
      <c r="V117" s="22"/>
      <c r="W117" s="22"/>
      <c r="X117" s="22"/>
      <c r="Y117" s="22"/>
      <c r="Z117" s="22"/>
      <c r="AA117" s="122"/>
      <c r="AB117" s="122"/>
      <c r="AC117" s="22"/>
      <c r="AD117" s="22"/>
      <c r="AE117" s="22"/>
      <c r="AF117" s="22"/>
      <c r="AG117" s="22"/>
      <c r="AH117" s="122"/>
      <c r="AI117" s="110" t="str">
        <f t="shared" si="4"/>
        <v/>
      </c>
      <c r="AJ117" s="110" t="str">
        <f t="shared" si="5"/>
        <v/>
      </c>
      <c r="AK117" s="110" t="str">
        <f t="shared" si="6"/>
        <v/>
      </c>
      <c r="AL117" s="110" t="str">
        <f t="shared" si="7"/>
        <v/>
      </c>
    </row>
    <row r="118" spans="6:38" x14ac:dyDescent="0.2">
      <c r="F118" s="1"/>
      <c r="N118" s="122"/>
      <c r="O118" s="22"/>
      <c r="P118" s="22"/>
      <c r="Q118" s="22"/>
      <c r="R118" s="22"/>
      <c r="S118" s="22"/>
      <c r="T118" s="122"/>
      <c r="U118" s="122"/>
      <c r="V118" s="22"/>
      <c r="W118" s="22"/>
      <c r="X118" s="22"/>
      <c r="Y118" s="22"/>
      <c r="Z118" s="22"/>
      <c r="AA118" s="122"/>
      <c r="AB118" s="122"/>
      <c r="AC118" s="22"/>
      <c r="AD118" s="22"/>
      <c r="AE118" s="22"/>
      <c r="AF118" s="22"/>
      <c r="AG118" s="22"/>
      <c r="AH118" s="122"/>
      <c r="AI118" s="110" t="str">
        <f t="shared" si="4"/>
        <v/>
      </c>
      <c r="AJ118" s="110" t="str">
        <f t="shared" si="5"/>
        <v/>
      </c>
      <c r="AK118" s="110" t="str">
        <f t="shared" si="6"/>
        <v/>
      </c>
      <c r="AL118" s="110" t="str">
        <f t="shared" si="7"/>
        <v/>
      </c>
    </row>
    <row r="119" spans="6:38" x14ac:dyDescent="0.2">
      <c r="F119" s="1"/>
      <c r="N119" s="122"/>
      <c r="O119" s="22"/>
      <c r="P119" s="22"/>
      <c r="Q119" s="22"/>
      <c r="R119" s="22"/>
      <c r="S119" s="22"/>
      <c r="T119" s="122"/>
      <c r="U119" s="122"/>
      <c r="V119" s="22"/>
      <c r="W119" s="22"/>
      <c r="X119" s="22"/>
      <c r="Y119" s="22"/>
      <c r="Z119" s="22"/>
      <c r="AA119" s="122"/>
      <c r="AB119" s="122"/>
      <c r="AC119" s="22"/>
      <c r="AD119" s="22"/>
      <c r="AE119" s="22"/>
      <c r="AF119" s="22"/>
      <c r="AG119" s="22"/>
      <c r="AH119" s="122"/>
      <c r="AI119" s="110" t="str">
        <f t="shared" si="4"/>
        <v/>
      </c>
      <c r="AJ119" s="110" t="str">
        <f t="shared" si="5"/>
        <v/>
      </c>
      <c r="AK119" s="110" t="str">
        <f t="shared" si="6"/>
        <v/>
      </c>
      <c r="AL119" s="110" t="str">
        <f t="shared" si="7"/>
        <v/>
      </c>
    </row>
    <row r="120" spans="6:38" x14ac:dyDescent="0.2">
      <c r="F120" s="1"/>
      <c r="N120" s="122"/>
      <c r="O120" s="22"/>
      <c r="P120" s="22"/>
      <c r="Q120" s="22"/>
      <c r="R120" s="22"/>
      <c r="S120" s="22"/>
      <c r="T120" s="122"/>
      <c r="U120" s="122"/>
      <c r="V120" s="22"/>
      <c r="W120" s="22"/>
      <c r="X120" s="22"/>
      <c r="Y120" s="22"/>
      <c r="Z120" s="22"/>
      <c r="AA120" s="122"/>
      <c r="AB120" s="122"/>
      <c r="AC120" s="22"/>
      <c r="AD120" s="22"/>
      <c r="AE120" s="22"/>
      <c r="AF120" s="22"/>
      <c r="AG120" s="22"/>
      <c r="AH120" s="122"/>
      <c r="AI120" s="110" t="str">
        <f t="shared" si="4"/>
        <v/>
      </c>
      <c r="AJ120" s="110" t="str">
        <f t="shared" si="5"/>
        <v/>
      </c>
      <c r="AK120" s="110" t="str">
        <f t="shared" si="6"/>
        <v/>
      </c>
      <c r="AL120" s="110" t="str">
        <f t="shared" si="7"/>
        <v/>
      </c>
    </row>
    <row r="121" spans="6:38" x14ac:dyDescent="0.2">
      <c r="F121" s="1"/>
      <c r="N121" s="122"/>
      <c r="O121" s="22"/>
      <c r="P121" s="22"/>
      <c r="Q121" s="22"/>
      <c r="R121" s="22"/>
      <c r="S121" s="22"/>
      <c r="T121" s="122"/>
      <c r="U121" s="122"/>
      <c r="V121" s="22"/>
      <c r="W121" s="22"/>
      <c r="X121" s="22"/>
      <c r="Y121" s="22"/>
      <c r="Z121" s="22"/>
      <c r="AA121" s="122"/>
      <c r="AB121" s="122"/>
      <c r="AC121" s="22"/>
      <c r="AD121" s="22"/>
      <c r="AE121" s="22"/>
      <c r="AF121" s="22"/>
      <c r="AG121" s="22"/>
      <c r="AH121" s="122"/>
      <c r="AI121" s="110" t="str">
        <f t="shared" si="4"/>
        <v/>
      </c>
      <c r="AJ121" s="110" t="str">
        <f t="shared" si="5"/>
        <v/>
      </c>
      <c r="AK121" s="110" t="str">
        <f t="shared" si="6"/>
        <v/>
      </c>
      <c r="AL121" s="110" t="str">
        <f t="shared" si="7"/>
        <v/>
      </c>
    </row>
    <row r="122" spans="6:38" x14ac:dyDescent="0.2">
      <c r="F122" s="1"/>
      <c r="N122" s="122"/>
      <c r="O122" s="22"/>
      <c r="P122" s="22"/>
      <c r="Q122" s="22"/>
      <c r="R122" s="22"/>
      <c r="S122" s="22"/>
      <c r="T122" s="122"/>
      <c r="U122" s="122"/>
      <c r="V122" s="22"/>
      <c r="W122" s="22"/>
      <c r="X122" s="22"/>
      <c r="Y122" s="22"/>
      <c r="Z122" s="22"/>
      <c r="AA122" s="122"/>
      <c r="AB122" s="122"/>
      <c r="AC122" s="22"/>
      <c r="AD122" s="22"/>
      <c r="AE122" s="22"/>
      <c r="AF122" s="22"/>
      <c r="AG122" s="22"/>
      <c r="AH122" s="122"/>
      <c r="AI122" s="110" t="str">
        <f t="shared" si="4"/>
        <v/>
      </c>
      <c r="AJ122" s="110" t="str">
        <f t="shared" si="5"/>
        <v/>
      </c>
      <c r="AK122" s="110" t="str">
        <f t="shared" si="6"/>
        <v/>
      </c>
      <c r="AL122" s="110" t="str">
        <f t="shared" si="7"/>
        <v/>
      </c>
    </row>
    <row r="123" spans="6:38" x14ac:dyDescent="0.2">
      <c r="F123" s="1"/>
      <c r="N123" s="122"/>
      <c r="O123" s="22"/>
      <c r="P123" s="22"/>
      <c r="Q123" s="22"/>
      <c r="R123" s="22"/>
      <c r="S123" s="22"/>
      <c r="T123" s="122"/>
      <c r="U123" s="122"/>
      <c r="V123" s="22"/>
      <c r="W123" s="22"/>
      <c r="X123" s="22"/>
      <c r="Y123" s="22"/>
      <c r="Z123" s="22"/>
      <c r="AA123" s="122"/>
      <c r="AB123" s="122"/>
      <c r="AC123" s="22"/>
      <c r="AD123" s="22"/>
      <c r="AE123" s="22"/>
      <c r="AF123" s="22"/>
      <c r="AG123" s="22"/>
      <c r="AH123" s="122"/>
      <c r="AI123" s="110" t="str">
        <f t="shared" si="4"/>
        <v/>
      </c>
      <c r="AJ123" s="110" t="str">
        <f t="shared" si="5"/>
        <v/>
      </c>
      <c r="AK123" s="110" t="str">
        <f t="shared" si="6"/>
        <v/>
      </c>
      <c r="AL123" s="110" t="str">
        <f t="shared" si="7"/>
        <v/>
      </c>
    </row>
    <row r="124" spans="6:38" x14ac:dyDescent="0.2">
      <c r="F124" s="1"/>
      <c r="N124" s="122"/>
      <c r="O124" s="22"/>
      <c r="P124" s="22"/>
      <c r="Q124" s="22"/>
      <c r="R124" s="22"/>
      <c r="S124" s="22"/>
      <c r="T124" s="122"/>
      <c r="U124" s="122"/>
      <c r="V124" s="22"/>
      <c r="W124" s="22"/>
      <c r="X124" s="22"/>
      <c r="Y124" s="22"/>
      <c r="Z124" s="22"/>
      <c r="AA124" s="122"/>
      <c r="AB124" s="122"/>
      <c r="AC124" s="22"/>
      <c r="AD124" s="22"/>
      <c r="AE124" s="22"/>
      <c r="AF124" s="22"/>
      <c r="AG124" s="22"/>
      <c r="AH124" s="122"/>
      <c r="AI124" s="110" t="str">
        <f t="shared" si="4"/>
        <v/>
      </c>
      <c r="AJ124" s="110" t="str">
        <f t="shared" si="5"/>
        <v/>
      </c>
      <c r="AK124" s="110" t="str">
        <f t="shared" si="6"/>
        <v/>
      </c>
      <c r="AL124" s="110" t="str">
        <f t="shared" si="7"/>
        <v/>
      </c>
    </row>
    <row r="125" spans="6:38" x14ac:dyDescent="0.2">
      <c r="F125" s="1"/>
      <c r="N125" s="122"/>
      <c r="O125" s="22"/>
      <c r="P125" s="22"/>
      <c r="Q125" s="22"/>
      <c r="R125" s="22"/>
      <c r="S125" s="22"/>
      <c r="T125" s="122"/>
      <c r="U125" s="122"/>
      <c r="V125" s="22"/>
      <c r="W125" s="22"/>
      <c r="X125" s="22"/>
      <c r="Y125" s="22"/>
      <c r="Z125" s="22"/>
      <c r="AA125" s="122"/>
      <c r="AB125" s="122"/>
      <c r="AC125" s="22"/>
      <c r="AD125" s="22"/>
      <c r="AE125" s="22"/>
      <c r="AF125" s="22"/>
      <c r="AG125" s="22"/>
      <c r="AH125" s="122"/>
      <c r="AI125" s="110" t="str">
        <f t="shared" si="4"/>
        <v/>
      </c>
      <c r="AJ125" s="110" t="str">
        <f t="shared" si="5"/>
        <v/>
      </c>
      <c r="AK125" s="110" t="str">
        <f t="shared" si="6"/>
        <v/>
      </c>
      <c r="AL125" s="110" t="str">
        <f t="shared" si="7"/>
        <v/>
      </c>
    </row>
    <row r="126" spans="6:38" x14ac:dyDescent="0.2">
      <c r="F126" s="1"/>
      <c r="N126" s="122"/>
      <c r="O126" s="22"/>
      <c r="P126" s="22"/>
      <c r="Q126" s="22"/>
      <c r="R126" s="22"/>
      <c r="S126" s="22"/>
      <c r="T126" s="122"/>
      <c r="U126" s="122"/>
      <c r="V126" s="22"/>
      <c r="W126" s="22"/>
      <c r="X126" s="22"/>
      <c r="Y126" s="22"/>
      <c r="Z126" s="22"/>
      <c r="AA126" s="122"/>
      <c r="AB126" s="122"/>
      <c r="AC126" s="22"/>
      <c r="AD126" s="22"/>
      <c r="AE126" s="22"/>
      <c r="AF126" s="22"/>
      <c r="AG126" s="22"/>
      <c r="AH126" s="122"/>
      <c r="AI126" s="110" t="str">
        <f t="shared" si="4"/>
        <v/>
      </c>
      <c r="AJ126" s="110" t="str">
        <f t="shared" si="5"/>
        <v/>
      </c>
      <c r="AK126" s="110" t="str">
        <f t="shared" si="6"/>
        <v/>
      </c>
      <c r="AL126" s="110" t="str">
        <f t="shared" si="7"/>
        <v/>
      </c>
    </row>
    <row r="127" spans="6:38" x14ac:dyDescent="0.2">
      <c r="F127" s="1"/>
      <c r="N127" s="122"/>
      <c r="O127" s="22"/>
      <c r="P127" s="22"/>
      <c r="Q127" s="22"/>
      <c r="R127" s="22"/>
      <c r="S127" s="22"/>
      <c r="T127" s="122"/>
      <c r="U127" s="122"/>
      <c r="V127" s="22"/>
      <c r="W127" s="22"/>
      <c r="X127" s="22"/>
      <c r="Y127" s="22"/>
      <c r="Z127" s="22"/>
      <c r="AA127" s="122"/>
      <c r="AB127" s="122"/>
      <c r="AC127" s="22"/>
      <c r="AD127" s="22"/>
      <c r="AE127" s="22"/>
      <c r="AF127" s="22"/>
      <c r="AG127" s="22"/>
      <c r="AH127" s="122"/>
      <c r="AI127" s="110" t="str">
        <f t="shared" si="4"/>
        <v/>
      </c>
      <c r="AJ127" s="110" t="str">
        <f t="shared" si="5"/>
        <v/>
      </c>
      <c r="AK127" s="110" t="str">
        <f t="shared" si="6"/>
        <v/>
      </c>
      <c r="AL127" s="110" t="str">
        <f t="shared" si="7"/>
        <v/>
      </c>
    </row>
    <row r="128" spans="6:38" x14ac:dyDescent="0.2">
      <c r="F128" s="1"/>
      <c r="N128" s="122"/>
      <c r="O128" s="22"/>
      <c r="P128" s="22"/>
      <c r="Q128" s="22"/>
      <c r="R128" s="22"/>
      <c r="S128" s="22"/>
      <c r="T128" s="122"/>
      <c r="U128" s="122"/>
      <c r="V128" s="22"/>
      <c r="W128" s="22"/>
      <c r="X128" s="22"/>
      <c r="Y128" s="22"/>
      <c r="Z128" s="22"/>
      <c r="AA128" s="122"/>
      <c r="AB128" s="122"/>
      <c r="AC128" s="22"/>
      <c r="AD128" s="22"/>
      <c r="AE128" s="22"/>
      <c r="AF128" s="22"/>
      <c r="AG128" s="22"/>
      <c r="AH128" s="122"/>
      <c r="AI128" s="110" t="str">
        <f t="shared" si="4"/>
        <v/>
      </c>
      <c r="AJ128" s="110" t="str">
        <f t="shared" si="5"/>
        <v/>
      </c>
      <c r="AK128" s="110" t="str">
        <f t="shared" si="6"/>
        <v/>
      </c>
      <c r="AL128" s="110" t="str">
        <f t="shared" si="7"/>
        <v/>
      </c>
    </row>
    <row r="129" spans="6:38" x14ac:dyDescent="0.2">
      <c r="F129" s="1"/>
      <c r="N129" s="122"/>
      <c r="O129" s="22"/>
      <c r="P129" s="22"/>
      <c r="Q129" s="22"/>
      <c r="R129" s="22"/>
      <c r="S129" s="22"/>
      <c r="T129" s="122"/>
      <c r="U129" s="122"/>
      <c r="V129" s="22"/>
      <c r="W129" s="22"/>
      <c r="X129" s="22"/>
      <c r="Y129" s="22"/>
      <c r="Z129" s="22"/>
      <c r="AA129" s="122"/>
      <c r="AB129" s="122"/>
      <c r="AC129" s="22"/>
      <c r="AD129" s="22"/>
      <c r="AE129" s="22"/>
      <c r="AF129" s="22"/>
      <c r="AG129" s="22"/>
      <c r="AH129" s="122"/>
      <c r="AI129" s="110" t="str">
        <f t="shared" si="4"/>
        <v/>
      </c>
      <c r="AJ129" s="110" t="str">
        <f t="shared" si="5"/>
        <v/>
      </c>
      <c r="AK129" s="110" t="str">
        <f t="shared" si="6"/>
        <v/>
      </c>
      <c r="AL129" s="110" t="str">
        <f t="shared" si="7"/>
        <v/>
      </c>
    </row>
    <row r="130" spans="6:38" x14ac:dyDescent="0.2">
      <c r="F130" s="1"/>
      <c r="N130" s="122"/>
      <c r="O130" s="22"/>
      <c r="P130" s="22"/>
      <c r="Q130" s="22"/>
      <c r="R130" s="22"/>
      <c r="S130" s="22"/>
      <c r="T130" s="122"/>
      <c r="U130" s="122"/>
      <c r="V130" s="22"/>
      <c r="W130" s="22"/>
      <c r="X130" s="22"/>
      <c r="Y130" s="22"/>
      <c r="Z130" s="22"/>
      <c r="AA130" s="122"/>
      <c r="AB130" s="122"/>
      <c r="AC130" s="22"/>
      <c r="AD130" s="22"/>
      <c r="AE130" s="22"/>
      <c r="AF130" s="22"/>
      <c r="AG130" s="22"/>
      <c r="AH130" s="122"/>
      <c r="AI130" s="110" t="str">
        <f t="shared" si="4"/>
        <v/>
      </c>
      <c r="AJ130" s="110" t="str">
        <f t="shared" si="5"/>
        <v/>
      </c>
      <c r="AK130" s="110" t="str">
        <f t="shared" si="6"/>
        <v/>
      </c>
      <c r="AL130" s="110" t="str">
        <f t="shared" si="7"/>
        <v/>
      </c>
    </row>
    <row r="131" spans="6:38" x14ac:dyDescent="0.2">
      <c r="F131" s="1"/>
      <c r="N131" s="122"/>
      <c r="O131" s="22"/>
      <c r="P131" s="22"/>
      <c r="Q131" s="22"/>
      <c r="R131" s="22"/>
      <c r="S131" s="22"/>
      <c r="T131" s="122"/>
      <c r="U131" s="122"/>
      <c r="V131" s="22"/>
      <c r="W131" s="22"/>
      <c r="X131" s="22"/>
      <c r="Y131" s="22"/>
      <c r="Z131" s="22"/>
      <c r="AA131" s="122"/>
      <c r="AB131" s="122"/>
      <c r="AC131" s="22"/>
      <c r="AD131" s="22"/>
      <c r="AE131" s="22"/>
      <c r="AF131" s="22"/>
      <c r="AG131" s="22"/>
      <c r="AH131" s="122"/>
      <c r="AI131" s="110" t="str">
        <f t="shared" si="4"/>
        <v/>
      </c>
      <c r="AJ131" s="110" t="str">
        <f t="shared" si="5"/>
        <v/>
      </c>
      <c r="AK131" s="110" t="str">
        <f t="shared" si="6"/>
        <v/>
      </c>
      <c r="AL131" s="110" t="str">
        <f t="shared" si="7"/>
        <v/>
      </c>
    </row>
    <row r="132" spans="6:38" x14ac:dyDescent="0.2">
      <c r="F132" s="1"/>
      <c r="N132" s="122"/>
      <c r="O132" s="22"/>
      <c r="P132" s="22"/>
      <c r="Q132" s="22"/>
      <c r="R132" s="22"/>
      <c r="S132" s="22"/>
      <c r="T132" s="122"/>
      <c r="U132" s="122"/>
      <c r="V132" s="22"/>
      <c r="W132" s="22"/>
      <c r="X132" s="22"/>
      <c r="Y132" s="22"/>
      <c r="Z132" s="22"/>
      <c r="AA132" s="122"/>
      <c r="AB132" s="122"/>
      <c r="AC132" s="22"/>
      <c r="AD132" s="22"/>
      <c r="AE132" s="22"/>
      <c r="AF132" s="22"/>
      <c r="AG132" s="22"/>
      <c r="AH132" s="122"/>
      <c r="AI132" s="110" t="str">
        <f t="shared" si="4"/>
        <v/>
      </c>
      <c r="AJ132" s="110" t="str">
        <f t="shared" si="5"/>
        <v/>
      </c>
      <c r="AK132" s="110" t="str">
        <f t="shared" si="6"/>
        <v/>
      </c>
      <c r="AL132" s="110" t="str">
        <f t="shared" si="7"/>
        <v/>
      </c>
    </row>
    <row r="133" spans="6:38" x14ac:dyDescent="0.2">
      <c r="F133" s="1"/>
      <c r="N133" s="122"/>
      <c r="O133" s="22"/>
      <c r="P133" s="22"/>
      <c r="Q133" s="22"/>
      <c r="R133" s="22"/>
      <c r="S133" s="22"/>
      <c r="T133" s="122"/>
      <c r="U133" s="122"/>
      <c r="V133" s="22"/>
      <c r="W133" s="22"/>
      <c r="X133" s="22"/>
      <c r="Y133" s="22"/>
      <c r="Z133" s="22"/>
      <c r="AA133" s="122"/>
      <c r="AB133" s="122"/>
      <c r="AC133" s="22"/>
      <c r="AD133" s="22"/>
      <c r="AE133" s="22"/>
      <c r="AF133" s="22"/>
      <c r="AG133" s="22"/>
      <c r="AH133" s="122"/>
      <c r="AI133" s="110" t="str">
        <f t="shared" si="4"/>
        <v/>
      </c>
      <c r="AJ133" s="110" t="str">
        <f t="shared" si="5"/>
        <v/>
      </c>
      <c r="AK133" s="110" t="str">
        <f t="shared" si="6"/>
        <v/>
      </c>
      <c r="AL133" s="110" t="str">
        <f t="shared" si="7"/>
        <v/>
      </c>
    </row>
    <row r="134" spans="6:38" x14ac:dyDescent="0.2">
      <c r="F134" s="1"/>
      <c r="N134" s="122"/>
      <c r="O134" s="22"/>
      <c r="P134" s="22"/>
      <c r="Q134" s="22"/>
      <c r="R134" s="22"/>
      <c r="S134" s="22"/>
      <c r="T134" s="122"/>
      <c r="U134" s="122"/>
      <c r="V134" s="22"/>
      <c r="W134" s="22"/>
      <c r="X134" s="22"/>
      <c r="Y134" s="22"/>
      <c r="Z134" s="22"/>
      <c r="AA134" s="122"/>
      <c r="AB134" s="122"/>
      <c r="AC134" s="22"/>
      <c r="AD134" s="22"/>
      <c r="AE134" s="22"/>
      <c r="AF134" s="22"/>
      <c r="AG134" s="22"/>
      <c r="AH134" s="122"/>
      <c r="AI134" s="110" t="str">
        <f t="shared" si="4"/>
        <v/>
      </c>
      <c r="AJ134" s="110" t="str">
        <f t="shared" si="5"/>
        <v/>
      </c>
      <c r="AK134" s="110" t="str">
        <f t="shared" si="6"/>
        <v/>
      </c>
      <c r="AL134" s="110" t="str">
        <f t="shared" si="7"/>
        <v/>
      </c>
    </row>
    <row r="135" spans="6:38" x14ac:dyDescent="0.2">
      <c r="F135" s="1"/>
      <c r="N135" s="122"/>
      <c r="O135" s="22"/>
      <c r="P135" s="22"/>
      <c r="Q135" s="22"/>
      <c r="R135" s="22"/>
      <c r="S135" s="22"/>
      <c r="T135" s="122"/>
      <c r="U135" s="122"/>
      <c r="V135" s="22"/>
      <c r="W135" s="22"/>
      <c r="X135" s="22"/>
      <c r="Y135" s="22"/>
      <c r="Z135" s="22"/>
      <c r="AA135" s="122"/>
      <c r="AB135" s="122"/>
      <c r="AC135" s="22"/>
      <c r="AD135" s="22"/>
      <c r="AE135" s="22"/>
      <c r="AF135" s="22"/>
      <c r="AG135" s="22"/>
      <c r="AH135" s="122"/>
      <c r="AI135" s="110" t="str">
        <f t="shared" si="4"/>
        <v/>
      </c>
      <c r="AJ135" s="110" t="str">
        <f t="shared" si="5"/>
        <v/>
      </c>
      <c r="AK135" s="110" t="str">
        <f t="shared" si="6"/>
        <v/>
      </c>
      <c r="AL135" s="110" t="str">
        <f t="shared" si="7"/>
        <v/>
      </c>
    </row>
    <row r="136" spans="6:38" x14ac:dyDescent="0.2">
      <c r="F136" s="1"/>
      <c r="N136" s="122"/>
      <c r="O136" s="22"/>
      <c r="P136" s="22"/>
      <c r="Q136" s="22"/>
      <c r="R136" s="22"/>
      <c r="S136" s="22"/>
      <c r="T136" s="122"/>
      <c r="U136" s="122"/>
      <c r="V136" s="22"/>
      <c r="W136" s="22"/>
      <c r="X136" s="22"/>
      <c r="Y136" s="22"/>
      <c r="Z136" s="22"/>
      <c r="AA136" s="122"/>
      <c r="AB136" s="122"/>
      <c r="AC136" s="22"/>
      <c r="AD136" s="22"/>
      <c r="AE136" s="22"/>
      <c r="AF136" s="22"/>
      <c r="AG136" s="22"/>
      <c r="AH136" s="122"/>
      <c r="AI136" s="110" t="str">
        <f t="shared" ref="AI136:AI199" si="8">IF(F136&lt;&gt;0,F136,"")</f>
        <v/>
      </c>
      <c r="AJ136" s="110" t="str">
        <f t="shared" ref="AJ136:AJ199" si="9">IF(SUM(N136:AH136)&gt;0,SUM(N136:AH136),"")</f>
        <v/>
      </c>
      <c r="AK136" s="110" t="str">
        <f t="shared" ref="AK136:AK199" si="10">IF(F136&lt;&gt;0,F136,"")</f>
        <v/>
      </c>
      <c r="AL136" s="110" t="str">
        <f t="shared" ref="AL136:AL199" si="11">IF(COUNTA(N136:AH136)&gt;0,COUNTA(N136:AH136),"")</f>
        <v/>
      </c>
    </row>
    <row r="137" spans="6:38" x14ac:dyDescent="0.2">
      <c r="F137" s="1"/>
      <c r="N137" s="122"/>
      <c r="O137" s="22"/>
      <c r="P137" s="22"/>
      <c r="Q137" s="22"/>
      <c r="R137" s="22"/>
      <c r="S137" s="22"/>
      <c r="T137" s="122"/>
      <c r="U137" s="122"/>
      <c r="V137" s="22"/>
      <c r="W137" s="22"/>
      <c r="X137" s="22"/>
      <c r="Y137" s="22"/>
      <c r="Z137" s="22"/>
      <c r="AA137" s="122"/>
      <c r="AB137" s="122"/>
      <c r="AC137" s="22"/>
      <c r="AD137" s="22"/>
      <c r="AE137" s="22"/>
      <c r="AF137" s="22"/>
      <c r="AG137" s="22"/>
      <c r="AH137" s="122"/>
      <c r="AI137" s="110" t="str">
        <f t="shared" si="8"/>
        <v/>
      </c>
      <c r="AJ137" s="110" t="str">
        <f t="shared" si="9"/>
        <v/>
      </c>
      <c r="AK137" s="110" t="str">
        <f t="shared" si="10"/>
        <v/>
      </c>
      <c r="AL137" s="110" t="str">
        <f t="shared" si="11"/>
        <v/>
      </c>
    </row>
    <row r="138" spans="6:38" x14ac:dyDescent="0.2">
      <c r="F138" s="1"/>
      <c r="N138" s="122"/>
      <c r="O138" s="22"/>
      <c r="P138" s="22"/>
      <c r="Q138" s="22"/>
      <c r="R138" s="22"/>
      <c r="S138" s="22"/>
      <c r="T138" s="122"/>
      <c r="U138" s="122"/>
      <c r="V138" s="22"/>
      <c r="W138" s="22"/>
      <c r="X138" s="22"/>
      <c r="Y138" s="22"/>
      <c r="Z138" s="22"/>
      <c r="AA138" s="122"/>
      <c r="AB138" s="122"/>
      <c r="AC138" s="22"/>
      <c r="AD138" s="22"/>
      <c r="AE138" s="22"/>
      <c r="AF138" s="22"/>
      <c r="AG138" s="22"/>
      <c r="AH138" s="122"/>
      <c r="AI138" s="110" t="str">
        <f t="shared" si="8"/>
        <v/>
      </c>
      <c r="AJ138" s="110" t="str">
        <f t="shared" si="9"/>
        <v/>
      </c>
      <c r="AK138" s="110" t="str">
        <f t="shared" si="10"/>
        <v/>
      </c>
      <c r="AL138" s="110" t="str">
        <f t="shared" si="11"/>
        <v/>
      </c>
    </row>
    <row r="139" spans="6:38" x14ac:dyDescent="0.2">
      <c r="F139" s="1"/>
      <c r="N139" s="122"/>
      <c r="O139" s="22"/>
      <c r="P139" s="22"/>
      <c r="Q139" s="22"/>
      <c r="R139" s="22"/>
      <c r="S139" s="22"/>
      <c r="T139" s="122"/>
      <c r="U139" s="122"/>
      <c r="V139" s="22"/>
      <c r="W139" s="22"/>
      <c r="X139" s="22"/>
      <c r="Y139" s="22"/>
      <c r="Z139" s="22"/>
      <c r="AA139" s="122"/>
      <c r="AB139" s="122"/>
      <c r="AC139" s="22"/>
      <c r="AD139" s="22"/>
      <c r="AE139" s="22"/>
      <c r="AF139" s="22"/>
      <c r="AG139" s="22"/>
      <c r="AH139" s="122"/>
      <c r="AI139" s="110" t="str">
        <f t="shared" si="8"/>
        <v/>
      </c>
      <c r="AJ139" s="110" t="str">
        <f t="shared" si="9"/>
        <v/>
      </c>
      <c r="AK139" s="110" t="str">
        <f t="shared" si="10"/>
        <v/>
      </c>
      <c r="AL139" s="110" t="str">
        <f t="shared" si="11"/>
        <v/>
      </c>
    </row>
    <row r="140" spans="6:38" x14ac:dyDescent="0.2">
      <c r="F140" s="1"/>
      <c r="N140" s="122"/>
      <c r="O140" s="22"/>
      <c r="P140" s="22"/>
      <c r="Q140" s="22"/>
      <c r="R140" s="22"/>
      <c r="S140" s="22"/>
      <c r="T140" s="122"/>
      <c r="U140" s="122"/>
      <c r="V140" s="22"/>
      <c r="W140" s="22"/>
      <c r="X140" s="22"/>
      <c r="Y140" s="22"/>
      <c r="Z140" s="22"/>
      <c r="AA140" s="122"/>
      <c r="AB140" s="122"/>
      <c r="AC140" s="22"/>
      <c r="AD140" s="22"/>
      <c r="AE140" s="22"/>
      <c r="AF140" s="22"/>
      <c r="AG140" s="22"/>
      <c r="AH140" s="122"/>
      <c r="AI140" s="110" t="str">
        <f t="shared" si="8"/>
        <v/>
      </c>
      <c r="AJ140" s="110" t="str">
        <f t="shared" si="9"/>
        <v/>
      </c>
      <c r="AK140" s="110" t="str">
        <f t="shared" si="10"/>
        <v/>
      </c>
      <c r="AL140" s="110" t="str">
        <f t="shared" si="11"/>
        <v/>
      </c>
    </row>
    <row r="141" spans="6:38" x14ac:dyDescent="0.2">
      <c r="F141" s="1"/>
      <c r="N141" s="122"/>
      <c r="O141" s="22"/>
      <c r="P141" s="22"/>
      <c r="Q141" s="22"/>
      <c r="R141" s="22"/>
      <c r="S141" s="22"/>
      <c r="T141" s="122"/>
      <c r="U141" s="122"/>
      <c r="V141" s="22"/>
      <c r="W141" s="22"/>
      <c r="X141" s="22"/>
      <c r="Y141" s="22"/>
      <c r="Z141" s="22"/>
      <c r="AA141" s="122"/>
      <c r="AB141" s="122"/>
      <c r="AC141" s="22"/>
      <c r="AD141" s="22"/>
      <c r="AE141" s="22"/>
      <c r="AF141" s="22"/>
      <c r="AG141" s="22"/>
      <c r="AH141" s="122"/>
      <c r="AI141" s="110" t="str">
        <f t="shared" si="8"/>
        <v/>
      </c>
      <c r="AJ141" s="110" t="str">
        <f t="shared" si="9"/>
        <v/>
      </c>
      <c r="AK141" s="110" t="str">
        <f t="shared" si="10"/>
        <v/>
      </c>
      <c r="AL141" s="110" t="str">
        <f t="shared" si="11"/>
        <v/>
      </c>
    </row>
    <row r="142" spans="6:38" x14ac:dyDescent="0.2">
      <c r="F142" s="1"/>
      <c r="N142" s="122"/>
      <c r="O142" s="22"/>
      <c r="P142" s="22"/>
      <c r="Q142" s="22"/>
      <c r="R142" s="22"/>
      <c r="S142" s="22"/>
      <c r="T142" s="122"/>
      <c r="U142" s="122"/>
      <c r="V142" s="22"/>
      <c r="W142" s="22"/>
      <c r="X142" s="22"/>
      <c r="Y142" s="22"/>
      <c r="Z142" s="22"/>
      <c r="AA142" s="122"/>
      <c r="AB142" s="122"/>
      <c r="AC142" s="22"/>
      <c r="AD142" s="22"/>
      <c r="AE142" s="22"/>
      <c r="AF142" s="22"/>
      <c r="AG142" s="22"/>
      <c r="AH142" s="122"/>
      <c r="AI142" s="110" t="str">
        <f t="shared" si="8"/>
        <v/>
      </c>
      <c r="AJ142" s="110" t="str">
        <f t="shared" si="9"/>
        <v/>
      </c>
      <c r="AK142" s="110" t="str">
        <f t="shared" si="10"/>
        <v/>
      </c>
      <c r="AL142" s="110" t="str">
        <f t="shared" si="11"/>
        <v/>
      </c>
    </row>
    <row r="143" spans="6:38" x14ac:dyDescent="0.2">
      <c r="F143" s="1"/>
      <c r="N143" s="122"/>
      <c r="O143" s="22"/>
      <c r="P143" s="22"/>
      <c r="Q143" s="22"/>
      <c r="R143" s="22"/>
      <c r="S143" s="22"/>
      <c r="T143" s="122"/>
      <c r="U143" s="122"/>
      <c r="V143" s="22"/>
      <c r="W143" s="22"/>
      <c r="X143" s="22"/>
      <c r="Y143" s="22"/>
      <c r="Z143" s="22"/>
      <c r="AA143" s="122"/>
      <c r="AB143" s="122"/>
      <c r="AC143" s="22"/>
      <c r="AD143" s="22"/>
      <c r="AE143" s="22"/>
      <c r="AF143" s="22"/>
      <c r="AG143" s="22"/>
      <c r="AH143" s="122"/>
      <c r="AI143" s="110" t="str">
        <f t="shared" si="8"/>
        <v/>
      </c>
      <c r="AJ143" s="110" t="str">
        <f t="shared" si="9"/>
        <v/>
      </c>
      <c r="AK143" s="110" t="str">
        <f t="shared" si="10"/>
        <v/>
      </c>
      <c r="AL143" s="110" t="str">
        <f t="shared" si="11"/>
        <v/>
      </c>
    </row>
    <row r="144" spans="6:38" x14ac:dyDescent="0.2">
      <c r="F144" s="1"/>
      <c r="N144" s="122"/>
      <c r="O144" s="22"/>
      <c r="P144" s="22"/>
      <c r="Q144" s="22"/>
      <c r="R144" s="22"/>
      <c r="S144" s="22"/>
      <c r="T144" s="122"/>
      <c r="U144" s="122"/>
      <c r="V144" s="22"/>
      <c r="W144" s="22"/>
      <c r="X144" s="22"/>
      <c r="Y144" s="22"/>
      <c r="Z144" s="22"/>
      <c r="AA144" s="122"/>
      <c r="AB144" s="122"/>
      <c r="AC144" s="22"/>
      <c r="AD144" s="22"/>
      <c r="AE144" s="22"/>
      <c r="AF144" s="22"/>
      <c r="AG144" s="22"/>
      <c r="AH144" s="122"/>
      <c r="AI144" s="110" t="str">
        <f t="shared" si="8"/>
        <v/>
      </c>
      <c r="AJ144" s="110" t="str">
        <f t="shared" si="9"/>
        <v/>
      </c>
      <c r="AK144" s="110" t="str">
        <f t="shared" si="10"/>
        <v/>
      </c>
      <c r="AL144" s="110" t="str">
        <f t="shared" si="11"/>
        <v/>
      </c>
    </row>
    <row r="145" spans="6:38" x14ac:dyDescent="0.2">
      <c r="F145" s="1"/>
      <c r="N145" s="122"/>
      <c r="O145" s="22"/>
      <c r="P145" s="22"/>
      <c r="Q145" s="22"/>
      <c r="R145" s="22"/>
      <c r="S145" s="22"/>
      <c r="T145" s="122"/>
      <c r="U145" s="122"/>
      <c r="V145" s="22"/>
      <c r="W145" s="22"/>
      <c r="X145" s="22"/>
      <c r="Y145" s="22"/>
      <c r="Z145" s="22"/>
      <c r="AA145" s="122"/>
      <c r="AB145" s="122"/>
      <c r="AC145" s="22"/>
      <c r="AD145" s="22"/>
      <c r="AE145" s="22"/>
      <c r="AF145" s="22"/>
      <c r="AG145" s="22"/>
      <c r="AH145" s="122"/>
      <c r="AI145" s="110" t="str">
        <f t="shared" si="8"/>
        <v/>
      </c>
      <c r="AJ145" s="110" t="str">
        <f t="shared" si="9"/>
        <v/>
      </c>
      <c r="AK145" s="110" t="str">
        <f t="shared" si="10"/>
        <v/>
      </c>
      <c r="AL145" s="110" t="str">
        <f t="shared" si="11"/>
        <v/>
      </c>
    </row>
    <row r="146" spans="6:38" x14ac:dyDescent="0.2">
      <c r="F146" s="1"/>
      <c r="N146" s="122"/>
      <c r="O146" s="22"/>
      <c r="P146" s="22"/>
      <c r="Q146" s="22"/>
      <c r="R146" s="22"/>
      <c r="S146" s="22"/>
      <c r="T146" s="122"/>
      <c r="U146" s="122"/>
      <c r="V146" s="22"/>
      <c r="W146" s="22"/>
      <c r="X146" s="22"/>
      <c r="Y146" s="22"/>
      <c r="Z146" s="22"/>
      <c r="AA146" s="122"/>
      <c r="AB146" s="122"/>
      <c r="AC146" s="22"/>
      <c r="AD146" s="22"/>
      <c r="AE146" s="22"/>
      <c r="AF146" s="22"/>
      <c r="AG146" s="22"/>
      <c r="AH146" s="122"/>
      <c r="AI146" s="110" t="str">
        <f t="shared" si="8"/>
        <v/>
      </c>
      <c r="AJ146" s="110" t="str">
        <f t="shared" si="9"/>
        <v/>
      </c>
      <c r="AK146" s="110" t="str">
        <f t="shared" si="10"/>
        <v/>
      </c>
      <c r="AL146" s="110" t="str">
        <f t="shared" si="11"/>
        <v/>
      </c>
    </row>
    <row r="147" spans="6:38" x14ac:dyDescent="0.2">
      <c r="F147" s="1"/>
      <c r="N147" s="122"/>
      <c r="O147" s="22"/>
      <c r="P147" s="22"/>
      <c r="Q147" s="22"/>
      <c r="R147" s="22"/>
      <c r="S147" s="22"/>
      <c r="T147" s="122"/>
      <c r="U147" s="122"/>
      <c r="V147" s="22"/>
      <c r="W147" s="22"/>
      <c r="X147" s="22"/>
      <c r="Y147" s="22"/>
      <c r="Z147" s="22"/>
      <c r="AA147" s="122"/>
      <c r="AB147" s="122"/>
      <c r="AC147" s="22"/>
      <c r="AD147" s="22"/>
      <c r="AE147" s="22"/>
      <c r="AF147" s="22"/>
      <c r="AG147" s="22"/>
      <c r="AH147" s="122"/>
      <c r="AI147" s="110" t="str">
        <f t="shared" si="8"/>
        <v/>
      </c>
      <c r="AJ147" s="110" t="str">
        <f t="shared" si="9"/>
        <v/>
      </c>
      <c r="AK147" s="110" t="str">
        <f t="shared" si="10"/>
        <v/>
      </c>
      <c r="AL147" s="110" t="str">
        <f t="shared" si="11"/>
        <v/>
      </c>
    </row>
    <row r="148" spans="6:38" x14ac:dyDescent="0.2">
      <c r="F148" s="1"/>
      <c r="N148" s="122"/>
      <c r="O148" s="22"/>
      <c r="P148" s="22"/>
      <c r="Q148" s="22"/>
      <c r="R148" s="22"/>
      <c r="S148" s="22"/>
      <c r="T148" s="122"/>
      <c r="U148" s="122"/>
      <c r="V148" s="22"/>
      <c r="W148" s="22"/>
      <c r="X148" s="22"/>
      <c r="Y148" s="22"/>
      <c r="Z148" s="22"/>
      <c r="AA148" s="122"/>
      <c r="AB148" s="122"/>
      <c r="AC148" s="22"/>
      <c r="AD148" s="22"/>
      <c r="AE148" s="22"/>
      <c r="AF148" s="22"/>
      <c r="AG148" s="22"/>
      <c r="AH148" s="122"/>
      <c r="AI148" s="110" t="str">
        <f t="shared" si="8"/>
        <v/>
      </c>
      <c r="AJ148" s="110" t="str">
        <f t="shared" si="9"/>
        <v/>
      </c>
      <c r="AK148" s="110" t="str">
        <f t="shared" si="10"/>
        <v/>
      </c>
      <c r="AL148" s="110" t="str">
        <f t="shared" si="11"/>
        <v/>
      </c>
    </row>
    <row r="149" spans="6:38" x14ac:dyDescent="0.2">
      <c r="F149" s="1"/>
      <c r="N149" s="122"/>
      <c r="O149" s="22"/>
      <c r="P149" s="22"/>
      <c r="Q149" s="22"/>
      <c r="R149" s="22"/>
      <c r="S149" s="22"/>
      <c r="T149" s="122"/>
      <c r="U149" s="122"/>
      <c r="V149" s="22"/>
      <c r="W149" s="22"/>
      <c r="X149" s="22"/>
      <c r="Y149" s="22"/>
      <c r="Z149" s="22"/>
      <c r="AA149" s="122"/>
      <c r="AB149" s="122"/>
      <c r="AC149" s="22"/>
      <c r="AD149" s="22"/>
      <c r="AE149" s="22"/>
      <c r="AF149" s="22"/>
      <c r="AG149" s="22"/>
      <c r="AH149" s="122"/>
      <c r="AI149" s="110" t="str">
        <f t="shared" si="8"/>
        <v/>
      </c>
      <c r="AJ149" s="110" t="str">
        <f t="shared" si="9"/>
        <v/>
      </c>
      <c r="AK149" s="110" t="str">
        <f t="shared" si="10"/>
        <v/>
      </c>
      <c r="AL149" s="110" t="str">
        <f t="shared" si="11"/>
        <v/>
      </c>
    </row>
    <row r="150" spans="6:38" x14ac:dyDescent="0.2">
      <c r="F150" s="1"/>
      <c r="N150" s="122"/>
      <c r="O150" s="22"/>
      <c r="P150" s="22"/>
      <c r="Q150" s="22"/>
      <c r="R150" s="22"/>
      <c r="S150" s="22"/>
      <c r="T150" s="122"/>
      <c r="U150" s="122"/>
      <c r="V150" s="22"/>
      <c r="W150" s="22"/>
      <c r="X150" s="22"/>
      <c r="Y150" s="22"/>
      <c r="Z150" s="22"/>
      <c r="AA150" s="122"/>
      <c r="AB150" s="122"/>
      <c r="AC150" s="22"/>
      <c r="AD150" s="22"/>
      <c r="AE150" s="22"/>
      <c r="AF150" s="22"/>
      <c r="AG150" s="22"/>
      <c r="AH150" s="122"/>
      <c r="AI150" s="110" t="str">
        <f t="shared" si="8"/>
        <v/>
      </c>
      <c r="AJ150" s="110" t="str">
        <f t="shared" si="9"/>
        <v/>
      </c>
      <c r="AK150" s="110" t="str">
        <f t="shared" si="10"/>
        <v/>
      </c>
      <c r="AL150" s="110" t="str">
        <f t="shared" si="11"/>
        <v/>
      </c>
    </row>
    <row r="151" spans="6:38" x14ac:dyDescent="0.2">
      <c r="F151" s="1"/>
      <c r="N151" s="122"/>
      <c r="O151" s="22"/>
      <c r="P151" s="22"/>
      <c r="Q151" s="22"/>
      <c r="R151" s="22"/>
      <c r="S151" s="22"/>
      <c r="T151" s="122"/>
      <c r="U151" s="122"/>
      <c r="V151" s="22"/>
      <c r="W151" s="22"/>
      <c r="X151" s="22"/>
      <c r="Y151" s="22"/>
      <c r="Z151" s="22"/>
      <c r="AA151" s="122"/>
      <c r="AB151" s="122"/>
      <c r="AC151" s="22"/>
      <c r="AD151" s="22"/>
      <c r="AE151" s="22"/>
      <c r="AF151" s="22"/>
      <c r="AG151" s="22"/>
      <c r="AH151" s="122"/>
      <c r="AI151" s="110" t="str">
        <f t="shared" si="8"/>
        <v/>
      </c>
      <c r="AJ151" s="110" t="str">
        <f t="shared" si="9"/>
        <v/>
      </c>
      <c r="AK151" s="110" t="str">
        <f t="shared" si="10"/>
        <v/>
      </c>
      <c r="AL151" s="110" t="str">
        <f t="shared" si="11"/>
        <v/>
      </c>
    </row>
    <row r="152" spans="6:38" x14ac:dyDescent="0.2">
      <c r="F152" s="1"/>
      <c r="N152" s="122"/>
      <c r="O152" s="22"/>
      <c r="P152" s="22"/>
      <c r="Q152" s="22"/>
      <c r="R152" s="22"/>
      <c r="S152" s="22"/>
      <c r="T152" s="122"/>
      <c r="U152" s="122"/>
      <c r="V152" s="22"/>
      <c r="W152" s="22"/>
      <c r="X152" s="22"/>
      <c r="Y152" s="22"/>
      <c r="Z152" s="22"/>
      <c r="AA152" s="122"/>
      <c r="AB152" s="122"/>
      <c r="AC152" s="22"/>
      <c r="AD152" s="22"/>
      <c r="AE152" s="22"/>
      <c r="AF152" s="22"/>
      <c r="AG152" s="22"/>
      <c r="AH152" s="122"/>
      <c r="AI152" s="110" t="str">
        <f t="shared" si="8"/>
        <v/>
      </c>
      <c r="AJ152" s="110" t="str">
        <f t="shared" si="9"/>
        <v/>
      </c>
      <c r="AK152" s="110" t="str">
        <f t="shared" si="10"/>
        <v/>
      </c>
      <c r="AL152" s="110" t="str">
        <f t="shared" si="11"/>
        <v/>
      </c>
    </row>
    <row r="153" spans="6:38" x14ac:dyDescent="0.2">
      <c r="F153" s="1"/>
      <c r="N153" s="122"/>
      <c r="O153" s="22"/>
      <c r="P153" s="22"/>
      <c r="Q153" s="22"/>
      <c r="R153" s="22"/>
      <c r="S153" s="22"/>
      <c r="T153" s="122"/>
      <c r="U153" s="122"/>
      <c r="V153" s="22"/>
      <c r="W153" s="22"/>
      <c r="X153" s="22"/>
      <c r="Y153" s="22"/>
      <c r="Z153" s="22"/>
      <c r="AA153" s="122"/>
      <c r="AB153" s="122"/>
      <c r="AC153" s="22"/>
      <c r="AD153" s="22"/>
      <c r="AE153" s="22"/>
      <c r="AF153" s="22"/>
      <c r="AG153" s="22"/>
      <c r="AH153" s="122"/>
      <c r="AI153" s="110" t="str">
        <f t="shared" si="8"/>
        <v/>
      </c>
      <c r="AJ153" s="110" t="str">
        <f t="shared" si="9"/>
        <v/>
      </c>
      <c r="AK153" s="110" t="str">
        <f t="shared" si="10"/>
        <v/>
      </c>
      <c r="AL153" s="110" t="str">
        <f t="shared" si="11"/>
        <v/>
      </c>
    </row>
    <row r="154" spans="6:38" x14ac:dyDescent="0.2">
      <c r="F154" s="1"/>
      <c r="N154" s="122"/>
      <c r="O154" s="22"/>
      <c r="P154" s="22"/>
      <c r="Q154" s="22"/>
      <c r="R154" s="22"/>
      <c r="S154" s="22"/>
      <c r="T154" s="122"/>
      <c r="U154" s="122"/>
      <c r="V154" s="22"/>
      <c r="W154" s="22"/>
      <c r="X154" s="22"/>
      <c r="Y154" s="22"/>
      <c r="Z154" s="22"/>
      <c r="AA154" s="122"/>
      <c r="AB154" s="122"/>
      <c r="AC154" s="22"/>
      <c r="AD154" s="22"/>
      <c r="AE154" s="22"/>
      <c r="AF154" s="22"/>
      <c r="AG154" s="22"/>
      <c r="AH154" s="122"/>
      <c r="AI154" s="110" t="str">
        <f t="shared" si="8"/>
        <v/>
      </c>
      <c r="AJ154" s="110" t="str">
        <f t="shared" si="9"/>
        <v/>
      </c>
      <c r="AK154" s="110" t="str">
        <f t="shared" si="10"/>
        <v/>
      </c>
      <c r="AL154" s="110" t="str">
        <f t="shared" si="11"/>
        <v/>
      </c>
    </row>
    <row r="155" spans="6:38" x14ac:dyDescent="0.2">
      <c r="F155" s="1"/>
      <c r="N155" s="122"/>
      <c r="O155" s="22"/>
      <c r="P155" s="22"/>
      <c r="Q155" s="22"/>
      <c r="R155" s="22"/>
      <c r="S155" s="22"/>
      <c r="T155" s="122"/>
      <c r="U155" s="122"/>
      <c r="V155" s="22"/>
      <c r="W155" s="22"/>
      <c r="X155" s="22"/>
      <c r="Y155" s="22"/>
      <c r="Z155" s="22"/>
      <c r="AA155" s="122"/>
      <c r="AB155" s="122"/>
      <c r="AC155" s="22"/>
      <c r="AD155" s="22"/>
      <c r="AE155" s="22"/>
      <c r="AF155" s="22"/>
      <c r="AG155" s="22"/>
      <c r="AH155" s="122"/>
      <c r="AI155" s="110" t="str">
        <f t="shared" si="8"/>
        <v/>
      </c>
      <c r="AJ155" s="110" t="str">
        <f t="shared" si="9"/>
        <v/>
      </c>
      <c r="AK155" s="110" t="str">
        <f t="shared" si="10"/>
        <v/>
      </c>
      <c r="AL155" s="110" t="str">
        <f t="shared" si="11"/>
        <v/>
      </c>
    </row>
    <row r="156" spans="6:38" x14ac:dyDescent="0.2">
      <c r="F156" s="1"/>
      <c r="N156" s="122"/>
      <c r="O156" s="22"/>
      <c r="P156" s="22"/>
      <c r="Q156" s="22"/>
      <c r="R156" s="22"/>
      <c r="S156" s="22"/>
      <c r="T156" s="122"/>
      <c r="U156" s="122"/>
      <c r="V156" s="22"/>
      <c r="W156" s="22"/>
      <c r="X156" s="22"/>
      <c r="Y156" s="22"/>
      <c r="Z156" s="22"/>
      <c r="AA156" s="122"/>
      <c r="AB156" s="122"/>
      <c r="AC156" s="22"/>
      <c r="AD156" s="22"/>
      <c r="AE156" s="22"/>
      <c r="AF156" s="22"/>
      <c r="AG156" s="22"/>
      <c r="AH156" s="122"/>
      <c r="AI156" s="110" t="str">
        <f t="shared" si="8"/>
        <v/>
      </c>
      <c r="AJ156" s="110" t="str">
        <f t="shared" si="9"/>
        <v/>
      </c>
      <c r="AK156" s="110" t="str">
        <f t="shared" si="10"/>
        <v/>
      </c>
      <c r="AL156" s="110" t="str">
        <f t="shared" si="11"/>
        <v/>
      </c>
    </row>
    <row r="157" spans="6:38" x14ac:dyDescent="0.2">
      <c r="F157" s="1"/>
      <c r="N157" s="122"/>
      <c r="O157" s="22"/>
      <c r="P157" s="22"/>
      <c r="Q157" s="22"/>
      <c r="R157" s="22"/>
      <c r="S157" s="22"/>
      <c r="T157" s="122"/>
      <c r="U157" s="122"/>
      <c r="V157" s="22"/>
      <c r="W157" s="22"/>
      <c r="X157" s="22"/>
      <c r="Y157" s="22"/>
      <c r="Z157" s="22"/>
      <c r="AA157" s="122"/>
      <c r="AB157" s="122"/>
      <c r="AC157" s="22"/>
      <c r="AD157" s="22"/>
      <c r="AE157" s="22"/>
      <c r="AF157" s="22"/>
      <c r="AG157" s="22"/>
      <c r="AH157" s="122"/>
      <c r="AI157" s="110" t="str">
        <f t="shared" si="8"/>
        <v/>
      </c>
      <c r="AJ157" s="110" t="str">
        <f t="shared" si="9"/>
        <v/>
      </c>
      <c r="AK157" s="110" t="str">
        <f t="shared" si="10"/>
        <v/>
      </c>
      <c r="AL157" s="110" t="str">
        <f t="shared" si="11"/>
        <v/>
      </c>
    </row>
    <row r="158" spans="6:38" x14ac:dyDescent="0.2">
      <c r="F158" s="1"/>
      <c r="N158" s="122"/>
      <c r="O158" s="22"/>
      <c r="P158" s="22"/>
      <c r="Q158" s="22"/>
      <c r="R158" s="22"/>
      <c r="S158" s="22"/>
      <c r="T158" s="122"/>
      <c r="U158" s="122"/>
      <c r="V158" s="22"/>
      <c r="W158" s="22"/>
      <c r="X158" s="22"/>
      <c r="Y158" s="22"/>
      <c r="Z158" s="22"/>
      <c r="AA158" s="122"/>
      <c r="AB158" s="122"/>
      <c r="AC158" s="22"/>
      <c r="AD158" s="22"/>
      <c r="AE158" s="22"/>
      <c r="AF158" s="22"/>
      <c r="AG158" s="22"/>
      <c r="AH158" s="122"/>
      <c r="AI158" s="110" t="str">
        <f t="shared" si="8"/>
        <v/>
      </c>
      <c r="AJ158" s="110" t="str">
        <f t="shared" si="9"/>
        <v/>
      </c>
      <c r="AK158" s="110" t="str">
        <f t="shared" si="10"/>
        <v/>
      </c>
      <c r="AL158" s="110" t="str">
        <f t="shared" si="11"/>
        <v/>
      </c>
    </row>
    <row r="159" spans="6:38" x14ac:dyDescent="0.2">
      <c r="F159" s="1"/>
      <c r="N159" s="122"/>
      <c r="O159" s="22"/>
      <c r="P159" s="22"/>
      <c r="Q159" s="22"/>
      <c r="R159" s="22"/>
      <c r="S159" s="22"/>
      <c r="T159" s="122"/>
      <c r="U159" s="122"/>
      <c r="V159" s="22"/>
      <c r="W159" s="22"/>
      <c r="X159" s="22"/>
      <c r="Y159" s="22"/>
      <c r="Z159" s="22"/>
      <c r="AA159" s="122"/>
      <c r="AB159" s="122"/>
      <c r="AC159" s="22"/>
      <c r="AD159" s="22"/>
      <c r="AE159" s="22"/>
      <c r="AF159" s="22"/>
      <c r="AG159" s="22"/>
      <c r="AH159" s="122"/>
      <c r="AI159" s="110" t="str">
        <f t="shared" si="8"/>
        <v/>
      </c>
      <c r="AJ159" s="110" t="str">
        <f t="shared" si="9"/>
        <v/>
      </c>
      <c r="AK159" s="110" t="str">
        <f t="shared" si="10"/>
        <v/>
      </c>
      <c r="AL159" s="110" t="str">
        <f t="shared" si="11"/>
        <v/>
      </c>
    </row>
    <row r="160" spans="6:38" x14ac:dyDescent="0.2">
      <c r="F160" s="1"/>
      <c r="N160" s="122"/>
      <c r="O160" s="22"/>
      <c r="P160" s="22"/>
      <c r="Q160" s="22"/>
      <c r="R160" s="22"/>
      <c r="S160" s="22"/>
      <c r="T160" s="122"/>
      <c r="U160" s="122"/>
      <c r="V160" s="22"/>
      <c r="W160" s="22"/>
      <c r="X160" s="22"/>
      <c r="Y160" s="22"/>
      <c r="Z160" s="22"/>
      <c r="AA160" s="122"/>
      <c r="AB160" s="122"/>
      <c r="AC160" s="22"/>
      <c r="AD160" s="22"/>
      <c r="AE160" s="22"/>
      <c r="AF160" s="22"/>
      <c r="AG160" s="22"/>
      <c r="AH160" s="122"/>
      <c r="AI160" s="110" t="str">
        <f t="shared" si="8"/>
        <v/>
      </c>
      <c r="AJ160" s="110" t="str">
        <f t="shared" si="9"/>
        <v/>
      </c>
      <c r="AK160" s="110" t="str">
        <f t="shared" si="10"/>
        <v/>
      </c>
      <c r="AL160" s="110" t="str">
        <f t="shared" si="11"/>
        <v/>
      </c>
    </row>
    <row r="161" spans="6:38" x14ac:dyDescent="0.2">
      <c r="F161" s="1"/>
      <c r="N161" s="122"/>
      <c r="O161" s="22"/>
      <c r="P161" s="22"/>
      <c r="Q161" s="22"/>
      <c r="R161" s="22"/>
      <c r="S161" s="22"/>
      <c r="T161" s="122"/>
      <c r="U161" s="122"/>
      <c r="V161" s="22"/>
      <c r="W161" s="22"/>
      <c r="X161" s="22"/>
      <c r="Y161" s="22"/>
      <c r="Z161" s="22"/>
      <c r="AA161" s="122"/>
      <c r="AB161" s="122"/>
      <c r="AC161" s="22"/>
      <c r="AD161" s="22"/>
      <c r="AE161" s="22"/>
      <c r="AF161" s="22"/>
      <c r="AG161" s="22"/>
      <c r="AH161" s="122"/>
      <c r="AI161" s="110" t="str">
        <f t="shared" si="8"/>
        <v/>
      </c>
      <c r="AJ161" s="110" t="str">
        <f t="shared" si="9"/>
        <v/>
      </c>
      <c r="AK161" s="110" t="str">
        <f t="shared" si="10"/>
        <v/>
      </c>
      <c r="AL161" s="110" t="str">
        <f t="shared" si="11"/>
        <v/>
      </c>
    </row>
    <row r="162" spans="6:38" x14ac:dyDescent="0.2">
      <c r="F162" s="1"/>
      <c r="N162" s="122"/>
      <c r="O162" s="22"/>
      <c r="P162" s="22"/>
      <c r="Q162" s="22"/>
      <c r="R162" s="22"/>
      <c r="S162" s="22"/>
      <c r="T162" s="122"/>
      <c r="U162" s="122"/>
      <c r="V162" s="22"/>
      <c r="W162" s="22"/>
      <c r="X162" s="22"/>
      <c r="Y162" s="22"/>
      <c r="Z162" s="22"/>
      <c r="AA162" s="122"/>
      <c r="AB162" s="122"/>
      <c r="AC162" s="22"/>
      <c r="AD162" s="22"/>
      <c r="AE162" s="22"/>
      <c r="AF162" s="22"/>
      <c r="AG162" s="22"/>
      <c r="AH162" s="122"/>
      <c r="AI162" s="110" t="str">
        <f t="shared" si="8"/>
        <v/>
      </c>
      <c r="AJ162" s="110" t="str">
        <f t="shared" si="9"/>
        <v/>
      </c>
      <c r="AK162" s="110" t="str">
        <f t="shared" si="10"/>
        <v/>
      </c>
      <c r="AL162" s="110" t="str">
        <f t="shared" si="11"/>
        <v/>
      </c>
    </row>
    <row r="163" spans="6:38" x14ac:dyDescent="0.2">
      <c r="F163" s="1"/>
      <c r="N163" s="122"/>
      <c r="O163" s="22"/>
      <c r="P163" s="22"/>
      <c r="Q163" s="22"/>
      <c r="R163" s="22"/>
      <c r="S163" s="22"/>
      <c r="T163" s="122"/>
      <c r="U163" s="122"/>
      <c r="V163" s="22"/>
      <c r="W163" s="22"/>
      <c r="X163" s="22"/>
      <c r="Y163" s="22"/>
      <c r="Z163" s="22"/>
      <c r="AA163" s="122"/>
      <c r="AB163" s="122"/>
      <c r="AC163" s="22"/>
      <c r="AD163" s="22"/>
      <c r="AE163" s="22"/>
      <c r="AF163" s="22"/>
      <c r="AG163" s="22"/>
      <c r="AH163" s="122"/>
      <c r="AI163" s="110" t="str">
        <f t="shared" si="8"/>
        <v/>
      </c>
      <c r="AJ163" s="110" t="str">
        <f t="shared" si="9"/>
        <v/>
      </c>
      <c r="AK163" s="110" t="str">
        <f t="shared" si="10"/>
        <v/>
      </c>
      <c r="AL163" s="110" t="str">
        <f t="shared" si="11"/>
        <v/>
      </c>
    </row>
    <row r="164" spans="6:38" x14ac:dyDescent="0.2">
      <c r="F164" s="1"/>
      <c r="N164" s="122"/>
      <c r="O164" s="22"/>
      <c r="P164" s="22"/>
      <c r="Q164" s="22"/>
      <c r="R164" s="22"/>
      <c r="S164" s="22"/>
      <c r="T164" s="122"/>
      <c r="U164" s="122"/>
      <c r="V164" s="22"/>
      <c r="W164" s="22"/>
      <c r="X164" s="22"/>
      <c r="Y164" s="22"/>
      <c r="Z164" s="22"/>
      <c r="AA164" s="122"/>
      <c r="AB164" s="122"/>
      <c r="AC164" s="22"/>
      <c r="AD164" s="22"/>
      <c r="AE164" s="22"/>
      <c r="AF164" s="22"/>
      <c r="AG164" s="22"/>
      <c r="AH164" s="122"/>
      <c r="AI164" s="110" t="str">
        <f t="shared" si="8"/>
        <v/>
      </c>
      <c r="AJ164" s="110" t="str">
        <f t="shared" si="9"/>
        <v/>
      </c>
      <c r="AK164" s="110" t="str">
        <f t="shared" si="10"/>
        <v/>
      </c>
      <c r="AL164" s="110" t="str">
        <f t="shared" si="11"/>
        <v/>
      </c>
    </row>
    <row r="165" spans="6:38" x14ac:dyDescent="0.2">
      <c r="F165" s="1"/>
      <c r="N165" s="122"/>
      <c r="O165" s="22"/>
      <c r="P165" s="22"/>
      <c r="Q165" s="22"/>
      <c r="R165" s="22"/>
      <c r="S165" s="22"/>
      <c r="T165" s="122"/>
      <c r="U165" s="122"/>
      <c r="V165" s="22"/>
      <c r="W165" s="22"/>
      <c r="X165" s="22"/>
      <c r="Y165" s="22"/>
      <c r="Z165" s="22"/>
      <c r="AA165" s="122"/>
      <c r="AB165" s="122"/>
      <c r="AC165" s="22"/>
      <c r="AD165" s="22"/>
      <c r="AE165" s="22"/>
      <c r="AF165" s="22"/>
      <c r="AG165" s="22"/>
      <c r="AH165" s="122"/>
      <c r="AI165" s="110" t="str">
        <f t="shared" si="8"/>
        <v/>
      </c>
      <c r="AJ165" s="110" t="str">
        <f t="shared" si="9"/>
        <v/>
      </c>
      <c r="AK165" s="110" t="str">
        <f t="shared" si="10"/>
        <v/>
      </c>
      <c r="AL165" s="110" t="str">
        <f t="shared" si="11"/>
        <v/>
      </c>
    </row>
    <row r="166" spans="6:38" x14ac:dyDescent="0.2">
      <c r="F166" s="1"/>
      <c r="N166" s="122"/>
      <c r="O166" s="22"/>
      <c r="P166" s="22"/>
      <c r="Q166" s="22"/>
      <c r="R166" s="22"/>
      <c r="S166" s="22"/>
      <c r="T166" s="122"/>
      <c r="U166" s="122"/>
      <c r="V166" s="22"/>
      <c r="W166" s="22"/>
      <c r="X166" s="22"/>
      <c r="Y166" s="22"/>
      <c r="Z166" s="22"/>
      <c r="AA166" s="122"/>
      <c r="AB166" s="122"/>
      <c r="AC166" s="22"/>
      <c r="AD166" s="22"/>
      <c r="AE166" s="22"/>
      <c r="AF166" s="22"/>
      <c r="AG166" s="22"/>
      <c r="AH166" s="122"/>
      <c r="AI166" s="110" t="str">
        <f t="shared" si="8"/>
        <v/>
      </c>
      <c r="AJ166" s="110" t="str">
        <f t="shared" si="9"/>
        <v/>
      </c>
      <c r="AK166" s="110" t="str">
        <f t="shared" si="10"/>
        <v/>
      </c>
      <c r="AL166" s="110" t="str">
        <f t="shared" si="11"/>
        <v/>
      </c>
    </row>
    <row r="167" spans="6:38" x14ac:dyDescent="0.2">
      <c r="F167" s="1"/>
      <c r="N167" s="122"/>
      <c r="O167" s="22"/>
      <c r="P167" s="22"/>
      <c r="Q167" s="22"/>
      <c r="R167" s="22"/>
      <c r="S167" s="22"/>
      <c r="T167" s="122"/>
      <c r="U167" s="122"/>
      <c r="V167" s="22"/>
      <c r="W167" s="22"/>
      <c r="X167" s="22"/>
      <c r="Y167" s="22"/>
      <c r="Z167" s="22"/>
      <c r="AA167" s="122"/>
      <c r="AB167" s="122"/>
      <c r="AC167" s="22"/>
      <c r="AD167" s="22"/>
      <c r="AE167" s="22"/>
      <c r="AF167" s="22"/>
      <c r="AG167" s="22"/>
      <c r="AH167" s="122"/>
      <c r="AI167" s="110" t="str">
        <f t="shared" si="8"/>
        <v/>
      </c>
      <c r="AJ167" s="110" t="str">
        <f t="shared" si="9"/>
        <v/>
      </c>
      <c r="AK167" s="110" t="str">
        <f t="shared" si="10"/>
        <v/>
      </c>
      <c r="AL167" s="110" t="str">
        <f t="shared" si="11"/>
        <v/>
      </c>
    </row>
    <row r="168" spans="6:38" x14ac:dyDescent="0.2">
      <c r="F168" s="1"/>
      <c r="N168" s="122"/>
      <c r="O168" s="22"/>
      <c r="P168" s="22"/>
      <c r="Q168" s="22"/>
      <c r="R168" s="22"/>
      <c r="S168" s="22"/>
      <c r="T168" s="122"/>
      <c r="U168" s="122"/>
      <c r="V168" s="22"/>
      <c r="W168" s="22"/>
      <c r="X168" s="22"/>
      <c r="Y168" s="22"/>
      <c r="Z168" s="22"/>
      <c r="AA168" s="122"/>
      <c r="AB168" s="122"/>
      <c r="AC168" s="22"/>
      <c r="AD168" s="22"/>
      <c r="AE168" s="22"/>
      <c r="AF168" s="22"/>
      <c r="AG168" s="22"/>
      <c r="AH168" s="122"/>
      <c r="AI168" s="110" t="str">
        <f t="shared" si="8"/>
        <v/>
      </c>
      <c r="AJ168" s="110" t="str">
        <f t="shared" si="9"/>
        <v/>
      </c>
      <c r="AK168" s="110" t="str">
        <f t="shared" si="10"/>
        <v/>
      </c>
      <c r="AL168" s="110" t="str">
        <f t="shared" si="11"/>
        <v/>
      </c>
    </row>
    <row r="169" spans="6:38" x14ac:dyDescent="0.2">
      <c r="F169" s="1"/>
      <c r="N169" s="122"/>
      <c r="O169" s="22"/>
      <c r="P169" s="22"/>
      <c r="Q169" s="22"/>
      <c r="R169" s="22"/>
      <c r="S169" s="22"/>
      <c r="T169" s="122"/>
      <c r="U169" s="122"/>
      <c r="V169" s="22"/>
      <c r="W169" s="22"/>
      <c r="X169" s="22"/>
      <c r="Y169" s="22"/>
      <c r="Z169" s="22"/>
      <c r="AA169" s="122"/>
      <c r="AB169" s="122"/>
      <c r="AC169" s="22"/>
      <c r="AD169" s="22"/>
      <c r="AE169" s="22"/>
      <c r="AF169" s="22"/>
      <c r="AG169" s="22"/>
      <c r="AH169" s="122"/>
      <c r="AI169" s="110" t="str">
        <f t="shared" si="8"/>
        <v/>
      </c>
      <c r="AJ169" s="110" t="str">
        <f t="shared" si="9"/>
        <v/>
      </c>
      <c r="AK169" s="110" t="str">
        <f t="shared" si="10"/>
        <v/>
      </c>
      <c r="AL169" s="110" t="str">
        <f t="shared" si="11"/>
        <v/>
      </c>
    </row>
    <row r="170" spans="6:38" x14ac:dyDescent="0.2">
      <c r="F170" s="1"/>
      <c r="N170" s="122"/>
      <c r="O170" s="22"/>
      <c r="P170" s="22"/>
      <c r="Q170" s="22"/>
      <c r="R170" s="22"/>
      <c r="S170" s="22"/>
      <c r="T170" s="122"/>
      <c r="U170" s="122"/>
      <c r="V170" s="22"/>
      <c r="W170" s="22"/>
      <c r="X170" s="22"/>
      <c r="Y170" s="22"/>
      <c r="Z170" s="22"/>
      <c r="AA170" s="122"/>
      <c r="AB170" s="122"/>
      <c r="AC170" s="22"/>
      <c r="AD170" s="22"/>
      <c r="AE170" s="22"/>
      <c r="AF170" s="22"/>
      <c r="AG170" s="22"/>
      <c r="AH170" s="122"/>
      <c r="AI170" s="110" t="str">
        <f t="shared" si="8"/>
        <v/>
      </c>
      <c r="AJ170" s="110" t="str">
        <f t="shared" si="9"/>
        <v/>
      </c>
      <c r="AK170" s="110" t="str">
        <f t="shared" si="10"/>
        <v/>
      </c>
      <c r="AL170" s="110" t="str">
        <f t="shared" si="11"/>
        <v/>
      </c>
    </row>
    <row r="171" spans="6:38" x14ac:dyDescent="0.2">
      <c r="F171" s="1"/>
      <c r="N171" s="122"/>
      <c r="O171" s="22"/>
      <c r="P171" s="22"/>
      <c r="Q171" s="22"/>
      <c r="R171" s="22"/>
      <c r="S171" s="22"/>
      <c r="T171" s="122"/>
      <c r="U171" s="122"/>
      <c r="V171" s="22"/>
      <c r="W171" s="22"/>
      <c r="X171" s="22"/>
      <c r="Y171" s="22"/>
      <c r="Z171" s="22"/>
      <c r="AA171" s="122"/>
      <c r="AB171" s="122"/>
      <c r="AC171" s="22"/>
      <c r="AD171" s="22"/>
      <c r="AE171" s="22"/>
      <c r="AF171" s="22"/>
      <c r="AG171" s="22"/>
      <c r="AH171" s="122"/>
      <c r="AI171" s="110" t="str">
        <f t="shared" si="8"/>
        <v/>
      </c>
      <c r="AJ171" s="110" t="str">
        <f t="shared" si="9"/>
        <v/>
      </c>
      <c r="AK171" s="110" t="str">
        <f t="shared" si="10"/>
        <v/>
      </c>
      <c r="AL171" s="110" t="str">
        <f t="shared" si="11"/>
        <v/>
      </c>
    </row>
    <row r="172" spans="6:38" x14ac:dyDescent="0.2">
      <c r="F172" s="1"/>
      <c r="N172" s="122"/>
      <c r="O172" s="22"/>
      <c r="P172" s="22"/>
      <c r="Q172" s="22"/>
      <c r="R172" s="22"/>
      <c r="S172" s="22"/>
      <c r="T172" s="122"/>
      <c r="U172" s="122"/>
      <c r="V172" s="22"/>
      <c r="W172" s="22"/>
      <c r="X172" s="22"/>
      <c r="Y172" s="22"/>
      <c r="Z172" s="22"/>
      <c r="AA172" s="122"/>
      <c r="AB172" s="122"/>
      <c r="AC172" s="22"/>
      <c r="AD172" s="22"/>
      <c r="AE172" s="22"/>
      <c r="AF172" s="22"/>
      <c r="AG172" s="22"/>
      <c r="AH172" s="122"/>
      <c r="AI172" s="110" t="str">
        <f t="shared" si="8"/>
        <v/>
      </c>
      <c r="AJ172" s="110" t="str">
        <f t="shared" si="9"/>
        <v/>
      </c>
      <c r="AK172" s="110" t="str">
        <f t="shared" si="10"/>
        <v/>
      </c>
      <c r="AL172" s="110" t="str">
        <f t="shared" si="11"/>
        <v/>
      </c>
    </row>
    <row r="173" spans="6:38" x14ac:dyDescent="0.2">
      <c r="F173" s="1"/>
      <c r="N173" s="122"/>
      <c r="O173" s="22"/>
      <c r="P173" s="22"/>
      <c r="Q173" s="22"/>
      <c r="R173" s="22"/>
      <c r="S173" s="22"/>
      <c r="T173" s="122"/>
      <c r="U173" s="122"/>
      <c r="V173" s="22"/>
      <c r="W173" s="22"/>
      <c r="X173" s="22"/>
      <c r="Y173" s="22"/>
      <c r="Z173" s="22"/>
      <c r="AA173" s="122"/>
      <c r="AB173" s="122"/>
      <c r="AC173" s="22"/>
      <c r="AD173" s="22"/>
      <c r="AE173" s="22"/>
      <c r="AF173" s="22"/>
      <c r="AG173" s="22"/>
      <c r="AH173" s="122"/>
      <c r="AI173" s="110" t="str">
        <f t="shared" si="8"/>
        <v/>
      </c>
      <c r="AJ173" s="110" t="str">
        <f t="shared" si="9"/>
        <v/>
      </c>
      <c r="AK173" s="110" t="str">
        <f t="shared" si="10"/>
        <v/>
      </c>
      <c r="AL173" s="110" t="str">
        <f t="shared" si="11"/>
        <v/>
      </c>
    </row>
    <row r="174" spans="6:38" x14ac:dyDescent="0.2">
      <c r="F174" s="1"/>
      <c r="N174" s="122"/>
      <c r="O174" s="22"/>
      <c r="P174" s="22"/>
      <c r="Q174" s="22"/>
      <c r="R174" s="22"/>
      <c r="S174" s="22"/>
      <c r="T174" s="122"/>
      <c r="U174" s="122"/>
      <c r="V174" s="22"/>
      <c r="W174" s="22"/>
      <c r="X174" s="22"/>
      <c r="Y174" s="22"/>
      <c r="Z174" s="22"/>
      <c r="AA174" s="122"/>
      <c r="AB174" s="122"/>
      <c r="AC174" s="22"/>
      <c r="AD174" s="22"/>
      <c r="AE174" s="22"/>
      <c r="AF174" s="22"/>
      <c r="AG174" s="22"/>
      <c r="AH174" s="122"/>
      <c r="AI174" s="110" t="str">
        <f t="shared" si="8"/>
        <v/>
      </c>
      <c r="AJ174" s="110" t="str">
        <f t="shared" si="9"/>
        <v/>
      </c>
      <c r="AK174" s="110" t="str">
        <f t="shared" si="10"/>
        <v/>
      </c>
      <c r="AL174" s="110" t="str">
        <f t="shared" si="11"/>
        <v/>
      </c>
    </row>
    <row r="175" spans="6:38" x14ac:dyDescent="0.2">
      <c r="F175" s="1"/>
      <c r="N175" s="122"/>
      <c r="O175" s="22"/>
      <c r="P175" s="22"/>
      <c r="Q175" s="22"/>
      <c r="R175" s="22"/>
      <c r="S175" s="22"/>
      <c r="T175" s="122"/>
      <c r="U175" s="122"/>
      <c r="V175" s="22"/>
      <c r="W175" s="22"/>
      <c r="X175" s="22"/>
      <c r="Y175" s="22"/>
      <c r="Z175" s="22"/>
      <c r="AA175" s="122"/>
      <c r="AB175" s="122"/>
      <c r="AC175" s="22"/>
      <c r="AD175" s="22"/>
      <c r="AE175" s="22"/>
      <c r="AF175" s="22"/>
      <c r="AG175" s="22"/>
      <c r="AH175" s="122"/>
      <c r="AI175" s="110" t="str">
        <f t="shared" si="8"/>
        <v/>
      </c>
      <c r="AJ175" s="110" t="str">
        <f t="shared" si="9"/>
        <v/>
      </c>
      <c r="AK175" s="110" t="str">
        <f t="shared" si="10"/>
        <v/>
      </c>
      <c r="AL175" s="110" t="str">
        <f t="shared" si="11"/>
        <v/>
      </c>
    </row>
    <row r="176" spans="6:38" x14ac:dyDescent="0.2">
      <c r="F176" s="1"/>
      <c r="N176" s="122"/>
      <c r="O176" s="22"/>
      <c r="P176" s="22"/>
      <c r="Q176" s="22"/>
      <c r="R176" s="22"/>
      <c r="S176" s="22"/>
      <c r="T176" s="122"/>
      <c r="U176" s="122"/>
      <c r="V176" s="22"/>
      <c r="W176" s="22"/>
      <c r="X176" s="22"/>
      <c r="Y176" s="22"/>
      <c r="Z176" s="22"/>
      <c r="AA176" s="122"/>
      <c r="AB176" s="122"/>
      <c r="AC176" s="22"/>
      <c r="AD176" s="22"/>
      <c r="AE176" s="22"/>
      <c r="AF176" s="22"/>
      <c r="AG176" s="22"/>
      <c r="AH176" s="122"/>
      <c r="AI176" s="110" t="str">
        <f t="shared" si="8"/>
        <v/>
      </c>
      <c r="AJ176" s="110" t="str">
        <f t="shared" si="9"/>
        <v/>
      </c>
      <c r="AK176" s="110" t="str">
        <f t="shared" si="10"/>
        <v/>
      </c>
      <c r="AL176" s="110" t="str">
        <f t="shared" si="11"/>
        <v/>
      </c>
    </row>
    <row r="177" spans="6:38" x14ac:dyDescent="0.2">
      <c r="F177" s="1"/>
      <c r="N177" s="122"/>
      <c r="O177" s="22"/>
      <c r="P177" s="22"/>
      <c r="Q177" s="22"/>
      <c r="R177" s="22"/>
      <c r="S177" s="22"/>
      <c r="T177" s="122"/>
      <c r="U177" s="122"/>
      <c r="V177" s="22"/>
      <c r="W177" s="22"/>
      <c r="X177" s="22"/>
      <c r="Y177" s="22"/>
      <c r="Z177" s="22"/>
      <c r="AA177" s="122"/>
      <c r="AB177" s="122"/>
      <c r="AC177" s="22"/>
      <c r="AD177" s="22"/>
      <c r="AE177" s="22"/>
      <c r="AF177" s="22"/>
      <c r="AG177" s="22"/>
      <c r="AH177" s="122"/>
      <c r="AI177" s="110" t="str">
        <f t="shared" si="8"/>
        <v/>
      </c>
      <c r="AJ177" s="110" t="str">
        <f t="shared" si="9"/>
        <v/>
      </c>
      <c r="AK177" s="110" t="str">
        <f t="shared" si="10"/>
        <v/>
      </c>
      <c r="AL177" s="110" t="str">
        <f t="shared" si="11"/>
        <v/>
      </c>
    </row>
    <row r="178" spans="6:38" x14ac:dyDescent="0.2">
      <c r="F178" s="1"/>
      <c r="N178" s="122"/>
      <c r="O178" s="22"/>
      <c r="P178" s="22"/>
      <c r="Q178" s="22"/>
      <c r="R178" s="22"/>
      <c r="S178" s="22"/>
      <c r="T178" s="122"/>
      <c r="U178" s="122"/>
      <c r="V178" s="22"/>
      <c r="W178" s="22"/>
      <c r="X178" s="22"/>
      <c r="Y178" s="22"/>
      <c r="Z178" s="22"/>
      <c r="AA178" s="122"/>
      <c r="AB178" s="122"/>
      <c r="AC178" s="22"/>
      <c r="AD178" s="22"/>
      <c r="AE178" s="22"/>
      <c r="AF178" s="22"/>
      <c r="AG178" s="22"/>
      <c r="AH178" s="122"/>
      <c r="AI178" s="110" t="str">
        <f t="shared" si="8"/>
        <v/>
      </c>
      <c r="AJ178" s="110" t="str">
        <f t="shared" si="9"/>
        <v/>
      </c>
      <c r="AK178" s="110" t="str">
        <f t="shared" si="10"/>
        <v/>
      </c>
      <c r="AL178" s="110" t="str">
        <f t="shared" si="11"/>
        <v/>
      </c>
    </row>
    <row r="179" spans="6:38" x14ac:dyDescent="0.2">
      <c r="F179" s="1"/>
      <c r="N179" s="122"/>
      <c r="O179" s="22"/>
      <c r="P179" s="22"/>
      <c r="Q179" s="22"/>
      <c r="R179" s="22"/>
      <c r="S179" s="22"/>
      <c r="T179" s="122"/>
      <c r="U179" s="122"/>
      <c r="V179" s="22"/>
      <c r="W179" s="22"/>
      <c r="X179" s="22"/>
      <c r="Y179" s="22"/>
      <c r="Z179" s="22"/>
      <c r="AA179" s="122"/>
      <c r="AB179" s="122"/>
      <c r="AC179" s="22"/>
      <c r="AD179" s="22"/>
      <c r="AE179" s="22"/>
      <c r="AF179" s="22"/>
      <c r="AG179" s="22"/>
      <c r="AH179" s="122"/>
      <c r="AI179" s="110" t="str">
        <f t="shared" si="8"/>
        <v/>
      </c>
      <c r="AJ179" s="110" t="str">
        <f t="shared" si="9"/>
        <v/>
      </c>
      <c r="AK179" s="110" t="str">
        <f t="shared" si="10"/>
        <v/>
      </c>
      <c r="AL179" s="110" t="str">
        <f t="shared" si="11"/>
        <v/>
      </c>
    </row>
    <row r="180" spans="6:38" x14ac:dyDescent="0.2">
      <c r="F180" s="1"/>
      <c r="N180" s="122"/>
      <c r="O180" s="22"/>
      <c r="P180" s="22"/>
      <c r="Q180" s="22"/>
      <c r="R180" s="22"/>
      <c r="S180" s="22"/>
      <c r="T180" s="122"/>
      <c r="U180" s="122"/>
      <c r="V180" s="22"/>
      <c r="W180" s="22"/>
      <c r="X180" s="22"/>
      <c r="Y180" s="22"/>
      <c r="Z180" s="22"/>
      <c r="AA180" s="122"/>
      <c r="AB180" s="122"/>
      <c r="AC180" s="22"/>
      <c r="AD180" s="22"/>
      <c r="AE180" s="22"/>
      <c r="AF180" s="22"/>
      <c r="AG180" s="22"/>
      <c r="AH180" s="122"/>
      <c r="AI180" s="110" t="str">
        <f t="shared" si="8"/>
        <v/>
      </c>
      <c r="AJ180" s="110" t="str">
        <f t="shared" si="9"/>
        <v/>
      </c>
      <c r="AK180" s="110" t="str">
        <f t="shared" si="10"/>
        <v/>
      </c>
      <c r="AL180" s="110" t="str">
        <f t="shared" si="11"/>
        <v/>
      </c>
    </row>
    <row r="181" spans="6:38" x14ac:dyDescent="0.2">
      <c r="F181" s="1"/>
      <c r="N181" s="122"/>
      <c r="O181" s="22"/>
      <c r="P181" s="22"/>
      <c r="Q181" s="22"/>
      <c r="R181" s="22"/>
      <c r="S181" s="22"/>
      <c r="T181" s="122"/>
      <c r="U181" s="122"/>
      <c r="V181" s="22"/>
      <c r="W181" s="22"/>
      <c r="X181" s="22"/>
      <c r="Y181" s="22"/>
      <c r="Z181" s="22"/>
      <c r="AA181" s="122"/>
      <c r="AB181" s="122"/>
      <c r="AC181" s="22"/>
      <c r="AD181" s="22"/>
      <c r="AE181" s="22"/>
      <c r="AF181" s="22"/>
      <c r="AG181" s="22"/>
      <c r="AH181" s="122"/>
      <c r="AI181" s="110" t="str">
        <f t="shared" si="8"/>
        <v/>
      </c>
      <c r="AJ181" s="110" t="str">
        <f t="shared" si="9"/>
        <v/>
      </c>
      <c r="AK181" s="110" t="str">
        <f t="shared" si="10"/>
        <v/>
      </c>
      <c r="AL181" s="110" t="str">
        <f t="shared" si="11"/>
        <v/>
      </c>
    </row>
    <row r="182" spans="6:38" x14ac:dyDescent="0.2">
      <c r="F182" s="1"/>
      <c r="N182" s="122"/>
      <c r="O182" s="22"/>
      <c r="P182" s="22"/>
      <c r="Q182" s="22"/>
      <c r="R182" s="22"/>
      <c r="S182" s="22"/>
      <c r="T182" s="122"/>
      <c r="U182" s="122"/>
      <c r="V182" s="22"/>
      <c r="W182" s="22"/>
      <c r="X182" s="22"/>
      <c r="Y182" s="22"/>
      <c r="Z182" s="22"/>
      <c r="AA182" s="122"/>
      <c r="AB182" s="122"/>
      <c r="AC182" s="22"/>
      <c r="AD182" s="22"/>
      <c r="AE182" s="22"/>
      <c r="AF182" s="22"/>
      <c r="AG182" s="22"/>
      <c r="AH182" s="122"/>
      <c r="AI182" s="110" t="str">
        <f t="shared" si="8"/>
        <v/>
      </c>
      <c r="AJ182" s="110" t="str">
        <f t="shared" si="9"/>
        <v/>
      </c>
      <c r="AK182" s="110" t="str">
        <f t="shared" si="10"/>
        <v/>
      </c>
      <c r="AL182" s="110" t="str">
        <f t="shared" si="11"/>
        <v/>
      </c>
    </row>
    <row r="183" spans="6:38" x14ac:dyDescent="0.2">
      <c r="F183" s="1"/>
      <c r="N183" s="122"/>
      <c r="O183" s="22"/>
      <c r="P183" s="22"/>
      <c r="Q183" s="22"/>
      <c r="R183" s="22"/>
      <c r="S183" s="22"/>
      <c r="T183" s="122"/>
      <c r="U183" s="122"/>
      <c r="V183" s="22"/>
      <c r="W183" s="22"/>
      <c r="X183" s="22"/>
      <c r="Y183" s="22"/>
      <c r="Z183" s="22"/>
      <c r="AA183" s="122"/>
      <c r="AB183" s="122"/>
      <c r="AC183" s="22"/>
      <c r="AD183" s="22"/>
      <c r="AE183" s="22"/>
      <c r="AF183" s="22"/>
      <c r="AG183" s="22"/>
      <c r="AH183" s="122"/>
      <c r="AI183" s="110" t="str">
        <f t="shared" si="8"/>
        <v/>
      </c>
      <c r="AJ183" s="110" t="str">
        <f t="shared" si="9"/>
        <v/>
      </c>
      <c r="AK183" s="110" t="str">
        <f t="shared" si="10"/>
        <v/>
      </c>
      <c r="AL183" s="110" t="str">
        <f t="shared" si="11"/>
        <v/>
      </c>
    </row>
    <row r="184" spans="6:38" x14ac:dyDescent="0.2">
      <c r="F184" s="1"/>
      <c r="N184" s="122"/>
      <c r="O184" s="22"/>
      <c r="P184" s="22"/>
      <c r="Q184" s="22"/>
      <c r="R184" s="22"/>
      <c r="S184" s="22"/>
      <c r="T184" s="122"/>
      <c r="U184" s="122"/>
      <c r="V184" s="22"/>
      <c r="W184" s="22"/>
      <c r="X184" s="22"/>
      <c r="Y184" s="22"/>
      <c r="Z184" s="22"/>
      <c r="AA184" s="122"/>
      <c r="AB184" s="122"/>
      <c r="AC184" s="22"/>
      <c r="AD184" s="22"/>
      <c r="AE184" s="22"/>
      <c r="AF184" s="22"/>
      <c r="AG184" s="22"/>
      <c r="AH184" s="122"/>
      <c r="AI184" s="110" t="str">
        <f t="shared" si="8"/>
        <v/>
      </c>
      <c r="AJ184" s="110" t="str">
        <f t="shared" si="9"/>
        <v/>
      </c>
      <c r="AK184" s="110" t="str">
        <f t="shared" si="10"/>
        <v/>
      </c>
      <c r="AL184" s="110" t="str">
        <f t="shared" si="11"/>
        <v/>
      </c>
    </row>
    <row r="185" spans="6:38" x14ac:dyDescent="0.2">
      <c r="F185" s="1"/>
      <c r="N185" s="122"/>
      <c r="O185" s="22"/>
      <c r="P185" s="22"/>
      <c r="Q185" s="22"/>
      <c r="R185" s="22"/>
      <c r="S185" s="22"/>
      <c r="T185" s="122"/>
      <c r="U185" s="122"/>
      <c r="V185" s="22"/>
      <c r="W185" s="22"/>
      <c r="X185" s="22"/>
      <c r="Y185" s="22"/>
      <c r="Z185" s="22"/>
      <c r="AA185" s="122"/>
      <c r="AB185" s="122"/>
      <c r="AC185" s="22"/>
      <c r="AD185" s="22"/>
      <c r="AE185" s="22"/>
      <c r="AF185" s="22"/>
      <c r="AG185" s="22"/>
      <c r="AH185" s="122"/>
      <c r="AI185" s="110" t="str">
        <f t="shared" si="8"/>
        <v/>
      </c>
      <c r="AJ185" s="110" t="str">
        <f t="shared" si="9"/>
        <v/>
      </c>
      <c r="AK185" s="110" t="str">
        <f t="shared" si="10"/>
        <v/>
      </c>
      <c r="AL185" s="110" t="str">
        <f t="shared" si="11"/>
        <v/>
      </c>
    </row>
    <row r="186" spans="6:38" x14ac:dyDescent="0.2">
      <c r="F186" s="1"/>
      <c r="N186" s="122"/>
      <c r="O186" s="22"/>
      <c r="P186" s="22"/>
      <c r="Q186" s="22"/>
      <c r="R186" s="22"/>
      <c r="S186" s="22"/>
      <c r="T186" s="122"/>
      <c r="U186" s="122"/>
      <c r="V186" s="22"/>
      <c r="W186" s="22"/>
      <c r="X186" s="22"/>
      <c r="Y186" s="22"/>
      <c r="Z186" s="22"/>
      <c r="AA186" s="122"/>
      <c r="AB186" s="122"/>
      <c r="AC186" s="22"/>
      <c r="AD186" s="22"/>
      <c r="AE186" s="22"/>
      <c r="AF186" s="22"/>
      <c r="AG186" s="22"/>
      <c r="AH186" s="122"/>
      <c r="AI186" s="110" t="str">
        <f t="shared" si="8"/>
        <v/>
      </c>
      <c r="AJ186" s="110" t="str">
        <f t="shared" si="9"/>
        <v/>
      </c>
      <c r="AK186" s="110" t="str">
        <f t="shared" si="10"/>
        <v/>
      </c>
      <c r="AL186" s="110" t="str">
        <f t="shared" si="11"/>
        <v/>
      </c>
    </row>
    <row r="187" spans="6:38" x14ac:dyDescent="0.2">
      <c r="F187" s="1"/>
      <c r="N187" s="122"/>
      <c r="O187" s="22"/>
      <c r="P187" s="22"/>
      <c r="Q187" s="22"/>
      <c r="R187" s="22"/>
      <c r="S187" s="22"/>
      <c r="T187" s="122"/>
      <c r="U187" s="122"/>
      <c r="V187" s="22"/>
      <c r="W187" s="22"/>
      <c r="X187" s="22"/>
      <c r="Y187" s="22"/>
      <c r="Z187" s="22"/>
      <c r="AA187" s="122"/>
      <c r="AB187" s="122"/>
      <c r="AC187" s="22"/>
      <c r="AD187" s="22"/>
      <c r="AE187" s="22"/>
      <c r="AF187" s="22"/>
      <c r="AG187" s="22"/>
      <c r="AH187" s="122"/>
      <c r="AI187" s="110" t="str">
        <f t="shared" si="8"/>
        <v/>
      </c>
      <c r="AJ187" s="110" t="str">
        <f t="shared" si="9"/>
        <v/>
      </c>
      <c r="AK187" s="110" t="str">
        <f t="shared" si="10"/>
        <v/>
      </c>
      <c r="AL187" s="110" t="str">
        <f t="shared" si="11"/>
        <v/>
      </c>
    </row>
    <row r="188" spans="6:38" x14ac:dyDescent="0.2">
      <c r="F188" s="1"/>
      <c r="N188" s="122"/>
      <c r="O188" s="22"/>
      <c r="P188" s="22"/>
      <c r="Q188" s="22"/>
      <c r="R188" s="22"/>
      <c r="S188" s="22"/>
      <c r="T188" s="122"/>
      <c r="U188" s="122"/>
      <c r="V188" s="22"/>
      <c r="W188" s="22"/>
      <c r="X188" s="22"/>
      <c r="Y188" s="22"/>
      <c r="Z188" s="22"/>
      <c r="AA188" s="122"/>
      <c r="AB188" s="122"/>
      <c r="AC188" s="22"/>
      <c r="AD188" s="22"/>
      <c r="AE188" s="22"/>
      <c r="AF188" s="22"/>
      <c r="AG188" s="22"/>
      <c r="AH188" s="122"/>
      <c r="AI188" s="110" t="str">
        <f t="shared" si="8"/>
        <v/>
      </c>
      <c r="AJ188" s="110" t="str">
        <f t="shared" si="9"/>
        <v/>
      </c>
      <c r="AK188" s="110" t="str">
        <f t="shared" si="10"/>
        <v/>
      </c>
      <c r="AL188" s="110" t="str">
        <f t="shared" si="11"/>
        <v/>
      </c>
    </row>
    <row r="189" spans="6:38" x14ac:dyDescent="0.2">
      <c r="F189" s="1"/>
      <c r="N189" s="122"/>
      <c r="O189" s="22"/>
      <c r="P189" s="22"/>
      <c r="Q189" s="22"/>
      <c r="R189" s="22"/>
      <c r="S189" s="22"/>
      <c r="T189" s="122"/>
      <c r="U189" s="122"/>
      <c r="V189" s="22"/>
      <c r="W189" s="22"/>
      <c r="X189" s="22"/>
      <c r="Y189" s="22"/>
      <c r="Z189" s="22"/>
      <c r="AA189" s="122"/>
      <c r="AB189" s="122"/>
      <c r="AC189" s="22"/>
      <c r="AD189" s="22"/>
      <c r="AE189" s="22"/>
      <c r="AF189" s="22"/>
      <c r="AG189" s="22"/>
      <c r="AH189" s="122"/>
      <c r="AI189" s="110" t="str">
        <f t="shared" si="8"/>
        <v/>
      </c>
      <c r="AJ189" s="110" t="str">
        <f t="shared" si="9"/>
        <v/>
      </c>
      <c r="AK189" s="110" t="str">
        <f t="shared" si="10"/>
        <v/>
      </c>
      <c r="AL189" s="110" t="str">
        <f t="shared" si="11"/>
        <v/>
      </c>
    </row>
    <row r="190" spans="6:38" x14ac:dyDescent="0.2">
      <c r="F190" s="1"/>
      <c r="N190" s="122"/>
      <c r="O190" s="22"/>
      <c r="P190" s="22"/>
      <c r="Q190" s="22"/>
      <c r="R190" s="22"/>
      <c r="S190" s="22"/>
      <c r="T190" s="122"/>
      <c r="U190" s="122"/>
      <c r="V190" s="22"/>
      <c r="W190" s="22"/>
      <c r="X190" s="22"/>
      <c r="Y190" s="22"/>
      <c r="Z190" s="22"/>
      <c r="AA190" s="122"/>
      <c r="AB190" s="122"/>
      <c r="AC190" s="22"/>
      <c r="AD190" s="22"/>
      <c r="AE190" s="22"/>
      <c r="AF190" s="22"/>
      <c r="AG190" s="22"/>
      <c r="AH190" s="122"/>
      <c r="AI190" s="110" t="str">
        <f t="shared" si="8"/>
        <v/>
      </c>
      <c r="AJ190" s="110" t="str">
        <f t="shared" si="9"/>
        <v/>
      </c>
      <c r="AK190" s="110" t="str">
        <f t="shared" si="10"/>
        <v/>
      </c>
      <c r="AL190" s="110" t="str">
        <f t="shared" si="11"/>
        <v/>
      </c>
    </row>
    <row r="191" spans="6:38" x14ac:dyDescent="0.2">
      <c r="F191" s="1"/>
      <c r="N191" s="122"/>
      <c r="O191" s="22"/>
      <c r="P191" s="22"/>
      <c r="Q191" s="22"/>
      <c r="R191" s="22"/>
      <c r="S191" s="22"/>
      <c r="T191" s="122"/>
      <c r="U191" s="122"/>
      <c r="V191" s="22"/>
      <c r="W191" s="22"/>
      <c r="X191" s="22"/>
      <c r="Y191" s="22"/>
      <c r="Z191" s="22"/>
      <c r="AA191" s="122"/>
      <c r="AB191" s="122"/>
      <c r="AC191" s="22"/>
      <c r="AD191" s="22"/>
      <c r="AE191" s="22"/>
      <c r="AF191" s="22"/>
      <c r="AG191" s="22"/>
      <c r="AH191" s="122"/>
      <c r="AI191" s="110" t="str">
        <f t="shared" si="8"/>
        <v/>
      </c>
      <c r="AJ191" s="110" t="str">
        <f t="shared" si="9"/>
        <v/>
      </c>
      <c r="AK191" s="110" t="str">
        <f t="shared" si="10"/>
        <v/>
      </c>
      <c r="AL191" s="110" t="str">
        <f t="shared" si="11"/>
        <v/>
      </c>
    </row>
    <row r="192" spans="6:38" x14ac:dyDescent="0.2">
      <c r="F192" s="1"/>
      <c r="N192" s="122"/>
      <c r="O192" s="22"/>
      <c r="P192" s="22"/>
      <c r="Q192" s="22"/>
      <c r="R192" s="22"/>
      <c r="S192" s="22"/>
      <c r="T192" s="122"/>
      <c r="U192" s="122"/>
      <c r="V192" s="22"/>
      <c r="W192" s="22"/>
      <c r="X192" s="22"/>
      <c r="Y192" s="22"/>
      <c r="Z192" s="22"/>
      <c r="AA192" s="122"/>
      <c r="AB192" s="122"/>
      <c r="AC192" s="22"/>
      <c r="AD192" s="22"/>
      <c r="AE192" s="22"/>
      <c r="AF192" s="22"/>
      <c r="AG192" s="22"/>
      <c r="AH192" s="122"/>
      <c r="AI192" s="110" t="str">
        <f t="shared" si="8"/>
        <v/>
      </c>
      <c r="AJ192" s="110" t="str">
        <f t="shared" si="9"/>
        <v/>
      </c>
      <c r="AK192" s="110" t="str">
        <f t="shared" si="10"/>
        <v/>
      </c>
      <c r="AL192" s="110" t="str">
        <f t="shared" si="11"/>
        <v/>
      </c>
    </row>
    <row r="193" spans="6:38" x14ac:dyDescent="0.2">
      <c r="F193" s="1"/>
      <c r="N193" s="122"/>
      <c r="O193" s="22"/>
      <c r="P193" s="22"/>
      <c r="Q193" s="22"/>
      <c r="R193" s="22"/>
      <c r="S193" s="22"/>
      <c r="T193" s="122"/>
      <c r="U193" s="122"/>
      <c r="V193" s="22"/>
      <c r="W193" s="22"/>
      <c r="X193" s="22"/>
      <c r="Y193" s="22"/>
      <c r="Z193" s="22"/>
      <c r="AA193" s="122"/>
      <c r="AB193" s="122"/>
      <c r="AC193" s="22"/>
      <c r="AD193" s="22"/>
      <c r="AE193" s="22"/>
      <c r="AF193" s="22"/>
      <c r="AG193" s="22"/>
      <c r="AH193" s="122"/>
      <c r="AI193" s="110" t="str">
        <f t="shared" si="8"/>
        <v/>
      </c>
      <c r="AJ193" s="110" t="str">
        <f t="shared" si="9"/>
        <v/>
      </c>
      <c r="AK193" s="110" t="str">
        <f t="shared" si="10"/>
        <v/>
      </c>
      <c r="AL193" s="110" t="str">
        <f t="shared" si="11"/>
        <v/>
      </c>
    </row>
    <row r="194" spans="6:38" x14ac:dyDescent="0.2">
      <c r="F194" s="1"/>
      <c r="N194" s="122"/>
      <c r="O194" s="22"/>
      <c r="P194" s="22"/>
      <c r="Q194" s="22"/>
      <c r="R194" s="22"/>
      <c r="S194" s="22"/>
      <c r="T194" s="122"/>
      <c r="U194" s="122"/>
      <c r="V194" s="22"/>
      <c r="W194" s="22"/>
      <c r="X194" s="22"/>
      <c r="Y194" s="22"/>
      <c r="Z194" s="22"/>
      <c r="AA194" s="122"/>
      <c r="AB194" s="122"/>
      <c r="AC194" s="22"/>
      <c r="AD194" s="22"/>
      <c r="AE194" s="22"/>
      <c r="AF194" s="22"/>
      <c r="AG194" s="22"/>
      <c r="AH194" s="122"/>
      <c r="AI194" s="110" t="str">
        <f t="shared" si="8"/>
        <v/>
      </c>
      <c r="AJ194" s="110" t="str">
        <f t="shared" si="9"/>
        <v/>
      </c>
      <c r="AK194" s="110" t="str">
        <f t="shared" si="10"/>
        <v/>
      </c>
      <c r="AL194" s="110" t="str">
        <f t="shared" si="11"/>
        <v/>
      </c>
    </row>
    <row r="195" spans="6:38" x14ac:dyDescent="0.2">
      <c r="F195" s="1"/>
      <c r="N195" s="122"/>
      <c r="O195" s="22"/>
      <c r="P195" s="22"/>
      <c r="Q195" s="22"/>
      <c r="R195" s="22"/>
      <c r="S195" s="22"/>
      <c r="T195" s="122"/>
      <c r="U195" s="122"/>
      <c r="V195" s="22"/>
      <c r="W195" s="22"/>
      <c r="X195" s="22"/>
      <c r="Y195" s="22"/>
      <c r="Z195" s="22"/>
      <c r="AA195" s="122"/>
      <c r="AB195" s="122"/>
      <c r="AC195" s="22"/>
      <c r="AD195" s="22"/>
      <c r="AE195" s="22"/>
      <c r="AF195" s="22"/>
      <c r="AG195" s="22"/>
      <c r="AH195" s="122"/>
      <c r="AI195" s="110" t="str">
        <f t="shared" si="8"/>
        <v/>
      </c>
      <c r="AJ195" s="110" t="str">
        <f t="shared" si="9"/>
        <v/>
      </c>
      <c r="AK195" s="110" t="str">
        <f t="shared" si="10"/>
        <v/>
      </c>
      <c r="AL195" s="110" t="str">
        <f t="shared" si="11"/>
        <v/>
      </c>
    </row>
    <row r="196" spans="6:38" x14ac:dyDescent="0.2">
      <c r="F196" s="1"/>
      <c r="N196" s="122"/>
      <c r="O196" s="22"/>
      <c r="P196" s="22"/>
      <c r="Q196" s="22"/>
      <c r="R196" s="22"/>
      <c r="S196" s="22"/>
      <c r="T196" s="122"/>
      <c r="U196" s="122"/>
      <c r="V196" s="22"/>
      <c r="W196" s="22"/>
      <c r="X196" s="22"/>
      <c r="Y196" s="22"/>
      <c r="Z196" s="22"/>
      <c r="AA196" s="122"/>
      <c r="AB196" s="122"/>
      <c r="AC196" s="22"/>
      <c r="AD196" s="22"/>
      <c r="AE196" s="22"/>
      <c r="AF196" s="22"/>
      <c r="AG196" s="22"/>
      <c r="AH196" s="122"/>
      <c r="AI196" s="110" t="str">
        <f t="shared" si="8"/>
        <v/>
      </c>
      <c r="AJ196" s="110" t="str">
        <f t="shared" si="9"/>
        <v/>
      </c>
      <c r="AK196" s="110" t="str">
        <f t="shared" si="10"/>
        <v/>
      </c>
      <c r="AL196" s="110" t="str">
        <f t="shared" si="11"/>
        <v/>
      </c>
    </row>
    <row r="197" spans="6:38" x14ac:dyDescent="0.2">
      <c r="F197" s="1"/>
      <c r="N197" s="122"/>
      <c r="O197" s="22"/>
      <c r="P197" s="22"/>
      <c r="Q197" s="22"/>
      <c r="R197" s="22"/>
      <c r="S197" s="22"/>
      <c r="T197" s="122"/>
      <c r="U197" s="122"/>
      <c r="V197" s="22"/>
      <c r="W197" s="22"/>
      <c r="X197" s="22"/>
      <c r="Y197" s="22"/>
      <c r="Z197" s="22"/>
      <c r="AA197" s="122"/>
      <c r="AB197" s="122"/>
      <c r="AC197" s="22"/>
      <c r="AD197" s="22"/>
      <c r="AE197" s="22"/>
      <c r="AF197" s="22"/>
      <c r="AG197" s="22"/>
      <c r="AH197" s="122"/>
      <c r="AI197" s="110" t="str">
        <f t="shared" si="8"/>
        <v/>
      </c>
      <c r="AJ197" s="110" t="str">
        <f t="shared" si="9"/>
        <v/>
      </c>
      <c r="AK197" s="110" t="str">
        <f t="shared" si="10"/>
        <v/>
      </c>
      <c r="AL197" s="110" t="str">
        <f t="shared" si="11"/>
        <v/>
      </c>
    </row>
    <row r="198" spans="6:38" x14ac:dyDescent="0.2">
      <c r="F198" s="1"/>
      <c r="N198" s="122"/>
      <c r="O198" s="22"/>
      <c r="P198" s="22"/>
      <c r="Q198" s="22"/>
      <c r="R198" s="22"/>
      <c r="S198" s="22"/>
      <c r="T198" s="122"/>
      <c r="U198" s="122"/>
      <c r="V198" s="22"/>
      <c r="W198" s="22"/>
      <c r="X198" s="22"/>
      <c r="Y198" s="22"/>
      <c r="Z198" s="22"/>
      <c r="AA198" s="122"/>
      <c r="AB198" s="122"/>
      <c r="AC198" s="22"/>
      <c r="AD198" s="22"/>
      <c r="AE198" s="22"/>
      <c r="AF198" s="22"/>
      <c r="AG198" s="22"/>
      <c r="AH198" s="122"/>
      <c r="AI198" s="110" t="str">
        <f t="shared" si="8"/>
        <v/>
      </c>
      <c r="AJ198" s="110" t="str">
        <f t="shared" si="9"/>
        <v/>
      </c>
      <c r="AK198" s="110" t="str">
        <f t="shared" si="10"/>
        <v/>
      </c>
      <c r="AL198" s="110" t="str">
        <f t="shared" si="11"/>
        <v/>
      </c>
    </row>
    <row r="199" spans="6:38" x14ac:dyDescent="0.2">
      <c r="F199" s="1"/>
      <c r="N199" s="122"/>
      <c r="O199" s="22"/>
      <c r="P199" s="22"/>
      <c r="Q199" s="22"/>
      <c r="R199" s="22"/>
      <c r="S199" s="22"/>
      <c r="T199" s="122"/>
      <c r="U199" s="122"/>
      <c r="V199" s="22"/>
      <c r="W199" s="22"/>
      <c r="X199" s="22"/>
      <c r="Y199" s="22"/>
      <c r="Z199" s="22"/>
      <c r="AA199" s="122"/>
      <c r="AB199" s="122"/>
      <c r="AC199" s="22"/>
      <c r="AD199" s="22"/>
      <c r="AE199" s="22"/>
      <c r="AF199" s="22"/>
      <c r="AG199" s="22"/>
      <c r="AH199" s="122"/>
      <c r="AI199" s="110" t="str">
        <f t="shared" si="8"/>
        <v/>
      </c>
      <c r="AJ199" s="110" t="str">
        <f t="shared" si="9"/>
        <v/>
      </c>
      <c r="AK199" s="110" t="str">
        <f t="shared" si="10"/>
        <v/>
      </c>
      <c r="AL199" s="110" t="str">
        <f t="shared" si="11"/>
        <v/>
      </c>
    </row>
    <row r="200" spans="6:38" x14ac:dyDescent="0.2">
      <c r="F200" s="1"/>
      <c r="N200" s="122"/>
      <c r="O200" s="22"/>
      <c r="P200" s="22"/>
      <c r="Q200" s="22"/>
      <c r="R200" s="22"/>
      <c r="S200" s="22"/>
      <c r="T200" s="122"/>
      <c r="U200" s="122"/>
      <c r="V200" s="22"/>
      <c r="W200" s="22"/>
      <c r="X200" s="22"/>
      <c r="Y200" s="22"/>
      <c r="Z200" s="22"/>
      <c r="AA200" s="122"/>
      <c r="AB200" s="122"/>
      <c r="AC200" s="22"/>
      <c r="AD200" s="22"/>
      <c r="AE200" s="22"/>
      <c r="AF200" s="22"/>
      <c r="AG200" s="22"/>
      <c r="AH200" s="122"/>
      <c r="AI200" s="110" t="str">
        <f t="shared" ref="AI200:AI263" si="12">IF(F200&lt;&gt;0,F200,"")</f>
        <v/>
      </c>
      <c r="AJ200" s="110" t="str">
        <f t="shared" ref="AJ200:AJ263" si="13">IF(SUM(N200:AH200)&gt;0,SUM(N200:AH200),"")</f>
        <v/>
      </c>
      <c r="AK200" s="110" t="str">
        <f t="shared" ref="AK200:AK263" si="14">IF(F200&lt;&gt;0,F200,"")</f>
        <v/>
      </c>
      <c r="AL200" s="110" t="str">
        <f t="shared" ref="AL200:AL263" si="15">IF(COUNTA(N200:AH200)&gt;0,COUNTA(N200:AH200),"")</f>
        <v/>
      </c>
    </row>
    <row r="201" spans="6:38" x14ac:dyDescent="0.2">
      <c r="F201" s="1"/>
      <c r="N201" s="122"/>
      <c r="O201" s="22"/>
      <c r="P201" s="22"/>
      <c r="Q201" s="22"/>
      <c r="R201" s="22"/>
      <c r="S201" s="22"/>
      <c r="T201" s="122"/>
      <c r="U201" s="122"/>
      <c r="V201" s="22"/>
      <c r="W201" s="22"/>
      <c r="X201" s="22"/>
      <c r="Y201" s="22"/>
      <c r="Z201" s="22"/>
      <c r="AA201" s="122"/>
      <c r="AB201" s="122"/>
      <c r="AC201" s="22"/>
      <c r="AD201" s="22"/>
      <c r="AE201" s="22"/>
      <c r="AF201" s="22"/>
      <c r="AG201" s="22"/>
      <c r="AH201" s="122"/>
      <c r="AI201" s="110" t="str">
        <f t="shared" si="12"/>
        <v/>
      </c>
      <c r="AJ201" s="110" t="str">
        <f t="shared" si="13"/>
        <v/>
      </c>
      <c r="AK201" s="110" t="str">
        <f t="shared" si="14"/>
        <v/>
      </c>
      <c r="AL201" s="110" t="str">
        <f t="shared" si="15"/>
        <v/>
      </c>
    </row>
    <row r="202" spans="6:38" x14ac:dyDescent="0.2">
      <c r="F202" s="1"/>
      <c r="N202" s="122"/>
      <c r="O202" s="22"/>
      <c r="P202" s="22"/>
      <c r="Q202" s="22"/>
      <c r="R202" s="22"/>
      <c r="S202" s="22"/>
      <c r="T202" s="122"/>
      <c r="U202" s="122"/>
      <c r="V202" s="22"/>
      <c r="W202" s="22"/>
      <c r="X202" s="22"/>
      <c r="Y202" s="22"/>
      <c r="Z202" s="22"/>
      <c r="AA202" s="122"/>
      <c r="AB202" s="122"/>
      <c r="AC202" s="22"/>
      <c r="AD202" s="22"/>
      <c r="AE202" s="22"/>
      <c r="AF202" s="22"/>
      <c r="AG202" s="22"/>
      <c r="AH202" s="122"/>
      <c r="AI202" s="110" t="str">
        <f t="shared" si="12"/>
        <v/>
      </c>
      <c r="AJ202" s="110" t="str">
        <f t="shared" si="13"/>
        <v/>
      </c>
      <c r="AK202" s="110" t="str">
        <f t="shared" si="14"/>
        <v/>
      </c>
      <c r="AL202" s="110" t="str">
        <f t="shared" si="15"/>
        <v/>
      </c>
    </row>
    <row r="203" spans="6:38" x14ac:dyDescent="0.2">
      <c r="F203" s="1"/>
      <c r="N203" s="122"/>
      <c r="O203" s="22"/>
      <c r="P203" s="22"/>
      <c r="Q203" s="22"/>
      <c r="R203" s="22"/>
      <c r="S203" s="22"/>
      <c r="T203" s="122"/>
      <c r="U203" s="122"/>
      <c r="V203" s="22"/>
      <c r="W203" s="22"/>
      <c r="X203" s="22"/>
      <c r="Y203" s="22"/>
      <c r="Z203" s="22"/>
      <c r="AA203" s="122"/>
      <c r="AB203" s="122"/>
      <c r="AC203" s="22"/>
      <c r="AD203" s="22"/>
      <c r="AE203" s="22"/>
      <c r="AF203" s="22"/>
      <c r="AG203" s="22"/>
      <c r="AH203" s="122"/>
      <c r="AI203" s="110" t="str">
        <f t="shared" si="12"/>
        <v/>
      </c>
      <c r="AJ203" s="110" t="str">
        <f t="shared" si="13"/>
        <v/>
      </c>
      <c r="AK203" s="110" t="str">
        <f t="shared" si="14"/>
        <v/>
      </c>
      <c r="AL203" s="110" t="str">
        <f t="shared" si="15"/>
        <v/>
      </c>
    </row>
    <row r="204" spans="6:38" x14ac:dyDescent="0.2">
      <c r="F204" s="1"/>
      <c r="N204" s="122"/>
      <c r="O204" s="22"/>
      <c r="P204" s="22"/>
      <c r="Q204" s="22"/>
      <c r="R204" s="22"/>
      <c r="S204" s="22"/>
      <c r="T204" s="122"/>
      <c r="U204" s="122"/>
      <c r="V204" s="22"/>
      <c r="W204" s="22"/>
      <c r="X204" s="22"/>
      <c r="Y204" s="22"/>
      <c r="Z204" s="22"/>
      <c r="AA204" s="122"/>
      <c r="AB204" s="122"/>
      <c r="AC204" s="22"/>
      <c r="AD204" s="22"/>
      <c r="AE204" s="22"/>
      <c r="AF204" s="22"/>
      <c r="AG204" s="22"/>
      <c r="AH204" s="122"/>
      <c r="AI204" s="110" t="str">
        <f t="shared" si="12"/>
        <v/>
      </c>
      <c r="AJ204" s="110" t="str">
        <f t="shared" si="13"/>
        <v/>
      </c>
      <c r="AK204" s="110" t="str">
        <f t="shared" si="14"/>
        <v/>
      </c>
      <c r="AL204" s="110" t="str">
        <f t="shared" si="15"/>
        <v/>
      </c>
    </row>
    <row r="205" spans="6:38" x14ac:dyDescent="0.2">
      <c r="F205" s="1"/>
      <c r="N205" s="122"/>
      <c r="O205" s="22"/>
      <c r="P205" s="22"/>
      <c r="Q205" s="22"/>
      <c r="R205" s="22"/>
      <c r="S205" s="22"/>
      <c r="T205" s="122"/>
      <c r="U205" s="122"/>
      <c r="V205" s="22"/>
      <c r="W205" s="22"/>
      <c r="X205" s="22"/>
      <c r="Y205" s="22"/>
      <c r="Z205" s="22"/>
      <c r="AA205" s="122"/>
      <c r="AB205" s="122"/>
      <c r="AC205" s="22"/>
      <c r="AD205" s="22"/>
      <c r="AE205" s="22"/>
      <c r="AF205" s="22"/>
      <c r="AG205" s="22"/>
      <c r="AH205" s="122"/>
      <c r="AI205" s="110" t="str">
        <f t="shared" si="12"/>
        <v/>
      </c>
      <c r="AJ205" s="110" t="str">
        <f t="shared" si="13"/>
        <v/>
      </c>
      <c r="AK205" s="110" t="str">
        <f t="shared" si="14"/>
        <v/>
      </c>
      <c r="AL205" s="110" t="str">
        <f t="shared" si="15"/>
        <v/>
      </c>
    </row>
    <row r="206" spans="6:38" x14ac:dyDescent="0.2">
      <c r="F206" s="1"/>
      <c r="N206" s="122"/>
      <c r="O206" s="22"/>
      <c r="P206" s="22"/>
      <c r="Q206" s="22"/>
      <c r="R206" s="22"/>
      <c r="S206" s="22"/>
      <c r="T206" s="122"/>
      <c r="U206" s="122"/>
      <c r="V206" s="22"/>
      <c r="W206" s="22"/>
      <c r="X206" s="22"/>
      <c r="Y206" s="22"/>
      <c r="Z206" s="22"/>
      <c r="AA206" s="122"/>
      <c r="AB206" s="122"/>
      <c r="AC206" s="22"/>
      <c r="AD206" s="22"/>
      <c r="AE206" s="22"/>
      <c r="AF206" s="22"/>
      <c r="AG206" s="22"/>
      <c r="AH206" s="122"/>
      <c r="AI206" s="110" t="str">
        <f t="shared" si="12"/>
        <v/>
      </c>
      <c r="AJ206" s="110" t="str">
        <f t="shared" si="13"/>
        <v/>
      </c>
      <c r="AK206" s="110" t="str">
        <f t="shared" si="14"/>
        <v/>
      </c>
      <c r="AL206" s="110" t="str">
        <f t="shared" si="15"/>
        <v/>
      </c>
    </row>
    <row r="207" spans="6:38" x14ac:dyDescent="0.2">
      <c r="F207" s="1"/>
      <c r="N207" s="122"/>
      <c r="O207" s="22"/>
      <c r="P207" s="22"/>
      <c r="Q207" s="22"/>
      <c r="R207" s="22"/>
      <c r="S207" s="22"/>
      <c r="T207" s="122"/>
      <c r="U207" s="122"/>
      <c r="V207" s="22"/>
      <c r="W207" s="22"/>
      <c r="X207" s="22"/>
      <c r="Y207" s="22"/>
      <c r="Z207" s="22"/>
      <c r="AA207" s="122"/>
      <c r="AB207" s="122"/>
      <c r="AC207" s="22"/>
      <c r="AD207" s="22"/>
      <c r="AE207" s="22"/>
      <c r="AF207" s="22"/>
      <c r="AG207" s="22"/>
      <c r="AH207" s="122"/>
      <c r="AI207" s="110" t="str">
        <f t="shared" si="12"/>
        <v/>
      </c>
      <c r="AJ207" s="110" t="str">
        <f t="shared" si="13"/>
        <v/>
      </c>
      <c r="AK207" s="110" t="str">
        <f t="shared" si="14"/>
        <v/>
      </c>
      <c r="AL207" s="110" t="str">
        <f t="shared" si="15"/>
        <v/>
      </c>
    </row>
    <row r="208" spans="6:38" x14ac:dyDescent="0.2">
      <c r="F208" s="1"/>
      <c r="N208" s="122"/>
      <c r="O208" s="22"/>
      <c r="P208" s="22"/>
      <c r="Q208" s="22"/>
      <c r="R208" s="22"/>
      <c r="S208" s="22"/>
      <c r="T208" s="122"/>
      <c r="U208" s="122"/>
      <c r="V208" s="22"/>
      <c r="W208" s="22"/>
      <c r="X208" s="22"/>
      <c r="Y208" s="22"/>
      <c r="Z208" s="22"/>
      <c r="AA208" s="122"/>
      <c r="AB208" s="122"/>
      <c r="AC208" s="22"/>
      <c r="AD208" s="22"/>
      <c r="AE208" s="22"/>
      <c r="AF208" s="22"/>
      <c r="AG208" s="22"/>
      <c r="AH208" s="122"/>
      <c r="AI208" s="110" t="str">
        <f t="shared" si="12"/>
        <v/>
      </c>
      <c r="AJ208" s="110" t="str">
        <f t="shared" si="13"/>
        <v/>
      </c>
      <c r="AK208" s="110" t="str">
        <f t="shared" si="14"/>
        <v/>
      </c>
      <c r="AL208" s="110" t="str">
        <f t="shared" si="15"/>
        <v/>
      </c>
    </row>
    <row r="209" spans="6:38" x14ac:dyDescent="0.2">
      <c r="F209" s="1"/>
      <c r="N209" s="122"/>
      <c r="O209" s="22"/>
      <c r="P209" s="22"/>
      <c r="Q209" s="22"/>
      <c r="R209" s="22"/>
      <c r="S209" s="22"/>
      <c r="T209" s="122"/>
      <c r="U209" s="122"/>
      <c r="V209" s="22"/>
      <c r="W209" s="22"/>
      <c r="X209" s="22"/>
      <c r="Y209" s="22"/>
      <c r="Z209" s="22"/>
      <c r="AA209" s="122"/>
      <c r="AB209" s="122"/>
      <c r="AC209" s="22"/>
      <c r="AD209" s="22"/>
      <c r="AE209" s="22"/>
      <c r="AF209" s="22"/>
      <c r="AG209" s="22"/>
      <c r="AH209" s="122"/>
      <c r="AI209" s="110" t="str">
        <f t="shared" si="12"/>
        <v/>
      </c>
      <c r="AJ209" s="110" t="str">
        <f t="shared" si="13"/>
        <v/>
      </c>
      <c r="AK209" s="110" t="str">
        <f t="shared" si="14"/>
        <v/>
      </c>
      <c r="AL209" s="110" t="str">
        <f t="shared" si="15"/>
        <v/>
      </c>
    </row>
    <row r="210" spans="6:38" x14ac:dyDescent="0.2">
      <c r="F210" s="1"/>
      <c r="N210" s="122"/>
      <c r="O210" s="22"/>
      <c r="P210" s="22"/>
      <c r="Q210" s="22"/>
      <c r="R210" s="22"/>
      <c r="S210" s="22"/>
      <c r="T210" s="122"/>
      <c r="U210" s="122"/>
      <c r="V210" s="22"/>
      <c r="W210" s="22"/>
      <c r="X210" s="22"/>
      <c r="Y210" s="22"/>
      <c r="Z210" s="22"/>
      <c r="AA210" s="122"/>
      <c r="AB210" s="122"/>
      <c r="AC210" s="22"/>
      <c r="AD210" s="22"/>
      <c r="AE210" s="22"/>
      <c r="AF210" s="22"/>
      <c r="AG210" s="22"/>
      <c r="AH210" s="122"/>
      <c r="AI210" s="110" t="str">
        <f t="shared" si="12"/>
        <v/>
      </c>
      <c r="AJ210" s="110" t="str">
        <f t="shared" si="13"/>
        <v/>
      </c>
      <c r="AK210" s="110" t="str">
        <f t="shared" si="14"/>
        <v/>
      </c>
      <c r="AL210" s="110" t="str">
        <f t="shared" si="15"/>
        <v/>
      </c>
    </row>
    <row r="211" spans="6:38" x14ac:dyDescent="0.2">
      <c r="F211" s="1"/>
      <c r="N211" s="122"/>
      <c r="O211" s="22"/>
      <c r="P211" s="22"/>
      <c r="Q211" s="22"/>
      <c r="R211" s="22"/>
      <c r="S211" s="22"/>
      <c r="T211" s="122"/>
      <c r="U211" s="122"/>
      <c r="V211" s="22"/>
      <c r="W211" s="22"/>
      <c r="X211" s="22"/>
      <c r="Y211" s="22"/>
      <c r="Z211" s="22"/>
      <c r="AA211" s="122"/>
      <c r="AB211" s="122"/>
      <c r="AC211" s="22"/>
      <c r="AD211" s="22"/>
      <c r="AE211" s="22"/>
      <c r="AF211" s="22"/>
      <c r="AG211" s="22"/>
      <c r="AH211" s="122"/>
      <c r="AI211" s="110" t="str">
        <f t="shared" si="12"/>
        <v/>
      </c>
      <c r="AJ211" s="110" t="str">
        <f t="shared" si="13"/>
        <v/>
      </c>
      <c r="AK211" s="110" t="str">
        <f t="shared" si="14"/>
        <v/>
      </c>
      <c r="AL211" s="110" t="str">
        <f t="shared" si="15"/>
        <v/>
      </c>
    </row>
    <row r="212" spans="6:38" x14ac:dyDescent="0.2">
      <c r="F212" s="1"/>
      <c r="N212" s="122"/>
      <c r="O212" s="22"/>
      <c r="P212" s="22"/>
      <c r="Q212" s="22"/>
      <c r="R212" s="22"/>
      <c r="S212" s="22"/>
      <c r="T212" s="122"/>
      <c r="U212" s="122"/>
      <c r="V212" s="22"/>
      <c r="W212" s="22"/>
      <c r="X212" s="22"/>
      <c r="Y212" s="22"/>
      <c r="Z212" s="22"/>
      <c r="AA212" s="122"/>
      <c r="AB212" s="122"/>
      <c r="AC212" s="22"/>
      <c r="AD212" s="22"/>
      <c r="AE212" s="22"/>
      <c r="AF212" s="22"/>
      <c r="AG212" s="22"/>
      <c r="AH212" s="122"/>
      <c r="AI212" s="110" t="str">
        <f t="shared" si="12"/>
        <v/>
      </c>
      <c r="AJ212" s="110" t="str">
        <f t="shared" si="13"/>
        <v/>
      </c>
      <c r="AK212" s="110" t="str">
        <f t="shared" si="14"/>
        <v/>
      </c>
      <c r="AL212" s="110" t="str">
        <f t="shared" si="15"/>
        <v/>
      </c>
    </row>
    <row r="213" spans="6:38" x14ac:dyDescent="0.2">
      <c r="F213" s="1"/>
      <c r="N213" s="122"/>
      <c r="O213" s="22"/>
      <c r="P213" s="22"/>
      <c r="Q213" s="22"/>
      <c r="R213" s="22"/>
      <c r="S213" s="22"/>
      <c r="T213" s="122"/>
      <c r="U213" s="122"/>
      <c r="V213" s="22"/>
      <c r="W213" s="22"/>
      <c r="X213" s="22"/>
      <c r="Y213" s="22"/>
      <c r="Z213" s="22"/>
      <c r="AA213" s="122"/>
      <c r="AB213" s="122"/>
      <c r="AC213" s="22"/>
      <c r="AD213" s="22"/>
      <c r="AE213" s="22"/>
      <c r="AF213" s="22"/>
      <c r="AG213" s="22"/>
      <c r="AH213" s="122"/>
      <c r="AI213" s="110" t="str">
        <f t="shared" si="12"/>
        <v/>
      </c>
      <c r="AJ213" s="110" t="str">
        <f t="shared" si="13"/>
        <v/>
      </c>
      <c r="AK213" s="110" t="str">
        <f t="shared" si="14"/>
        <v/>
      </c>
      <c r="AL213" s="110" t="str">
        <f t="shared" si="15"/>
        <v/>
      </c>
    </row>
    <row r="214" spans="6:38" x14ac:dyDescent="0.2">
      <c r="F214" s="1"/>
      <c r="N214" s="122"/>
      <c r="O214" s="22"/>
      <c r="P214" s="22"/>
      <c r="Q214" s="22"/>
      <c r="R214" s="22"/>
      <c r="S214" s="22"/>
      <c r="T214" s="122"/>
      <c r="U214" s="122"/>
      <c r="V214" s="22"/>
      <c r="W214" s="22"/>
      <c r="X214" s="22"/>
      <c r="Y214" s="22"/>
      <c r="Z214" s="22"/>
      <c r="AA214" s="122"/>
      <c r="AB214" s="122"/>
      <c r="AC214" s="22"/>
      <c r="AD214" s="22"/>
      <c r="AE214" s="22"/>
      <c r="AF214" s="22"/>
      <c r="AG214" s="22"/>
      <c r="AH214" s="122"/>
      <c r="AI214" s="110" t="str">
        <f t="shared" si="12"/>
        <v/>
      </c>
      <c r="AJ214" s="110" t="str">
        <f t="shared" si="13"/>
        <v/>
      </c>
      <c r="AK214" s="110" t="str">
        <f t="shared" si="14"/>
        <v/>
      </c>
      <c r="AL214" s="110" t="str">
        <f t="shared" si="15"/>
        <v/>
      </c>
    </row>
    <row r="215" spans="6:38" x14ac:dyDescent="0.2">
      <c r="F215" s="1"/>
      <c r="N215" s="122"/>
      <c r="O215" s="22"/>
      <c r="P215" s="22"/>
      <c r="Q215" s="22"/>
      <c r="R215" s="22"/>
      <c r="S215" s="22"/>
      <c r="T215" s="122"/>
      <c r="U215" s="122"/>
      <c r="V215" s="22"/>
      <c r="W215" s="22"/>
      <c r="X215" s="22"/>
      <c r="Y215" s="22"/>
      <c r="Z215" s="22"/>
      <c r="AA215" s="122"/>
      <c r="AB215" s="122"/>
      <c r="AC215" s="22"/>
      <c r="AD215" s="22"/>
      <c r="AE215" s="22"/>
      <c r="AF215" s="22"/>
      <c r="AG215" s="22"/>
      <c r="AH215" s="122"/>
      <c r="AI215" s="110" t="str">
        <f t="shared" si="12"/>
        <v/>
      </c>
      <c r="AJ215" s="110" t="str">
        <f t="shared" si="13"/>
        <v/>
      </c>
      <c r="AK215" s="110" t="str">
        <f t="shared" si="14"/>
        <v/>
      </c>
      <c r="AL215" s="110" t="str">
        <f t="shared" si="15"/>
        <v/>
      </c>
    </row>
    <row r="216" spans="6:38" x14ac:dyDescent="0.2">
      <c r="F216" s="1"/>
      <c r="N216" s="122"/>
      <c r="O216" s="22"/>
      <c r="P216" s="22"/>
      <c r="Q216" s="22"/>
      <c r="R216" s="22"/>
      <c r="S216" s="22"/>
      <c r="T216" s="122"/>
      <c r="U216" s="122"/>
      <c r="V216" s="22"/>
      <c r="W216" s="22"/>
      <c r="X216" s="22"/>
      <c r="Y216" s="22"/>
      <c r="Z216" s="22"/>
      <c r="AA216" s="122"/>
      <c r="AB216" s="122"/>
      <c r="AC216" s="22"/>
      <c r="AD216" s="22"/>
      <c r="AE216" s="22"/>
      <c r="AF216" s="22"/>
      <c r="AG216" s="22"/>
      <c r="AH216" s="122"/>
      <c r="AI216" s="110" t="str">
        <f t="shared" si="12"/>
        <v/>
      </c>
      <c r="AJ216" s="110" t="str">
        <f t="shared" si="13"/>
        <v/>
      </c>
      <c r="AK216" s="110" t="str">
        <f t="shared" si="14"/>
        <v/>
      </c>
      <c r="AL216" s="110" t="str">
        <f t="shared" si="15"/>
        <v/>
      </c>
    </row>
    <row r="217" spans="6:38" x14ac:dyDescent="0.2">
      <c r="F217" s="1"/>
      <c r="N217" s="122"/>
      <c r="O217" s="22"/>
      <c r="P217" s="22"/>
      <c r="Q217" s="22"/>
      <c r="R217" s="22"/>
      <c r="S217" s="22"/>
      <c r="T217" s="122"/>
      <c r="U217" s="122"/>
      <c r="V217" s="22"/>
      <c r="W217" s="22"/>
      <c r="X217" s="22"/>
      <c r="Y217" s="22"/>
      <c r="Z217" s="22"/>
      <c r="AA217" s="122"/>
      <c r="AB217" s="122"/>
      <c r="AC217" s="22"/>
      <c r="AD217" s="22"/>
      <c r="AE217" s="22"/>
      <c r="AF217" s="22"/>
      <c r="AG217" s="22"/>
      <c r="AH217" s="122"/>
      <c r="AI217" s="110" t="str">
        <f t="shared" si="12"/>
        <v/>
      </c>
      <c r="AJ217" s="110" t="str">
        <f t="shared" si="13"/>
        <v/>
      </c>
      <c r="AK217" s="110" t="str">
        <f t="shared" si="14"/>
        <v/>
      </c>
      <c r="AL217" s="110" t="str">
        <f t="shared" si="15"/>
        <v/>
      </c>
    </row>
    <row r="218" spans="6:38" x14ac:dyDescent="0.2">
      <c r="F218" s="1"/>
      <c r="N218" s="122"/>
      <c r="O218" s="22"/>
      <c r="P218" s="22"/>
      <c r="Q218" s="22"/>
      <c r="R218" s="22"/>
      <c r="S218" s="22"/>
      <c r="T218" s="122"/>
      <c r="U218" s="122"/>
      <c r="V218" s="22"/>
      <c r="W218" s="22"/>
      <c r="X218" s="22"/>
      <c r="Y218" s="22"/>
      <c r="Z218" s="22"/>
      <c r="AA218" s="122"/>
      <c r="AB218" s="122"/>
      <c r="AC218" s="22"/>
      <c r="AD218" s="22"/>
      <c r="AE218" s="22"/>
      <c r="AF218" s="22"/>
      <c r="AG218" s="22"/>
      <c r="AH218" s="122"/>
      <c r="AI218" s="110" t="str">
        <f t="shared" si="12"/>
        <v/>
      </c>
      <c r="AJ218" s="110" t="str">
        <f t="shared" si="13"/>
        <v/>
      </c>
      <c r="AK218" s="110" t="str">
        <f t="shared" si="14"/>
        <v/>
      </c>
      <c r="AL218" s="110" t="str">
        <f t="shared" si="15"/>
        <v/>
      </c>
    </row>
    <row r="219" spans="6:38" x14ac:dyDescent="0.2">
      <c r="F219" s="1"/>
      <c r="N219" s="122"/>
      <c r="O219" s="22"/>
      <c r="P219" s="22"/>
      <c r="Q219" s="22"/>
      <c r="R219" s="22"/>
      <c r="S219" s="22"/>
      <c r="T219" s="122"/>
      <c r="U219" s="122"/>
      <c r="V219" s="22"/>
      <c r="W219" s="22"/>
      <c r="X219" s="22"/>
      <c r="Y219" s="22"/>
      <c r="Z219" s="22"/>
      <c r="AA219" s="122"/>
      <c r="AB219" s="122"/>
      <c r="AC219" s="22"/>
      <c r="AD219" s="22"/>
      <c r="AE219" s="22"/>
      <c r="AF219" s="22"/>
      <c r="AG219" s="22"/>
      <c r="AH219" s="122"/>
      <c r="AI219" s="110" t="str">
        <f t="shared" si="12"/>
        <v/>
      </c>
      <c r="AJ219" s="110" t="str">
        <f t="shared" si="13"/>
        <v/>
      </c>
      <c r="AK219" s="110" t="str">
        <f t="shared" si="14"/>
        <v/>
      </c>
      <c r="AL219" s="110" t="str">
        <f t="shared" si="15"/>
        <v/>
      </c>
    </row>
    <row r="220" spans="6:38" x14ac:dyDescent="0.2">
      <c r="F220" s="1"/>
      <c r="N220" s="122"/>
      <c r="O220" s="22"/>
      <c r="P220" s="22"/>
      <c r="Q220" s="22"/>
      <c r="R220" s="22"/>
      <c r="S220" s="22"/>
      <c r="T220" s="122"/>
      <c r="U220" s="122"/>
      <c r="V220" s="22"/>
      <c r="W220" s="22"/>
      <c r="X220" s="22"/>
      <c r="Y220" s="22"/>
      <c r="Z220" s="22"/>
      <c r="AA220" s="122"/>
      <c r="AB220" s="122"/>
      <c r="AC220" s="22"/>
      <c r="AD220" s="22"/>
      <c r="AE220" s="22"/>
      <c r="AF220" s="22"/>
      <c r="AG220" s="22"/>
      <c r="AH220" s="122"/>
      <c r="AI220" s="110" t="str">
        <f t="shared" si="12"/>
        <v/>
      </c>
      <c r="AJ220" s="110" t="str">
        <f t="shared" si="13"/>
        <v/>
      </c>
      <c r="AK220" s="110" t="str">
        <f t="shared" si="14"/>
        <v/>
      </c>
      <c r="AL220" s="110" t="str">
        <f t="shared" si="15"/>
        <v/>
      </c>
    </row>
    <row r="221" spans="6:38" x14ac:dyDescent="0.2">
      <c r="F221" s="1"/>
      <c r="N221" s="122"/>
      <c r="O221" s="22"/>
      <c r="P221" s="22"/>
      <c r="Q221" s="22"/>
      <c r="R221" s="22"/>
      <c r="S221" s="22"/>
      <c r="T221" s="122"/>
      <c r="U221" s="122"/>
      <c r="V221" s="22"/>
      <c r="W221" s="22"/>
      <c r="X221" s="22"/>
      <c r="Y221" s="22"/>
      <c r="Z221" s="22"/>
      <c r="AA221" s="122"/>
      <c r="AB221" s="122"/>
      <c r="AC221" s="22"/>
      <c r="AD221" s="22"/>
      <c r="AE221" s="22"/>
      <c r="AF221" s="22"/>
      <c r="AG221" s="22"/>
      <c r="AH221" s="122"/>
      <c r="AI221" s="110" t="str">
        <f t="shared" si="12"/>
        <v/>
      </c>
      <c r="AJ221" s="110" t="str">
        <f t="shared" si="13"/>
        <v/>
      </c>
      <c r="AK221" s="110" t="str">
        <f t="shared" si="14"/>
        <v/>
      </c>
      <c r="AL221" s="110" t="str">
        <f t="shared" si="15"/>
        <v/>
      </c>
    </row>
    <row r="222" spans="6:38" x14ac:dyDescent="0.2">
      <c r="F222" s="1"/>
      <c r="N222" s="122"/>
      <c r="O222" s="22"/>
      <c r="P222" s="22"/>
      <c r="Q222" s="22"/>
      <c r="R222" s="22"/>
      <c r="S222" s="22"/>
      <c r="T222" s="122"/>
      <c r="U222" s="122"/>
      <c r="V222" s="22"/>
      <c r="W222" s="22"/>
      <c r="X222" s="22"/>
      <c r="Y222" s="22"/>
      <c r="Z222" s="22"/>
      <c r="AA222" s="122"/>
      <c r="AB222" s="122"/>
      <c r="AC222" s="22"/>
      <c r="AD222" s="22"/>
      <c r="AE222" s="22"/>
      <c r="AF222" s="22"/>
      <c r="AG222" s="22"/>
      <c r="AH222" s="122"/>
      <c r="AI222" s="110" t="str">
        <f t="shared" si="12"/>
        <v/>
      </c>
      <c r="AJ222" s="110" t="str">
        <f t="shared" si="13"/>
        <v/>
      </c>
      <c r="AK222" s="110" t="str">
        <f t="shared" si="14"/>
        <v/>
      </c>
      <c r="AL222" s="110" t="str">
        <f t="shared" si="15"/>
        <v/>
      </c>
    </row>
    <row r="223" spans="6:38" x14ac:dyDescent="0.2">
      <c r="F223" s="1"/>
      <c r="N223" s="122"/>
      <c r="O223" s="22"/>
      <c r="P223" s="22"/>
      <c r="Q223" s="22"/>
      <c r="R223" s="22"/>
      <c r="S223" s="22"/>
      <c r="T223" s="122"/>
      <c r="U223" s="122"/>
      <c r="V223" s="22"/>
      <c r="W223" s="22"/>
      <c r="X223" s="22"/>
      <c r="Y223" s="22"/>
      <c r="Z223" s="22"/>
      <c r="AA223" s="122"/>
      <c r="AB223" s="122"/>
      <c r="AC223" s="22"/>
      <c r="AD223" s="22"/>
      <c r="AE223" s="22"/>
      <c r="AF223" s="22"/>
      <c r="AG223" s="22"/>
      <c r="AH223" s="122"/>
      <c r="AI223" s="110" t="str">
        <f t="shared" si="12"/>
        <v/>
      </c>
      <c r="AJ223" s="110" t="str">
        <f t="shared" si="13"/>
        <v/>
      </c>
      <c r="AK223" s="110" t="str">
        <f t="shared" si="14"/>
        <v/>
      </c>
      <c r="AL223" s="110" t="str">
        <f t="shared" si="15"/>
        <v/>
      </c>
    </row>
    <row r="224" spans="6:38" x14ac:dyDescent="0.2">
      <c r="F224" s="1"/>
      <c r="N224" s="122"/>
      <c r="O224" s="22"/>
      <c r="P224" s="22"/>
      <c r="Q224" s="22"/>
      <c r="R224" s="22"/>
      <c r="S224" s="22"/>
      <c r="T224" s="122"/>
      <c r="U224" s="122"/>
      <c r="V224" s="22"/>
      <c r="W224" s="22"/>
      <c r="X224" s="22"/>
      <c r="Y224" s="22"/>
      <c r="Z224" s="22"/>
      <c r="AA224" s="122"/>
      <c r="AB224" s="122"/>
      <c r="AC224" s="22"/>
      <c r="AD224" s="22"/>
      <c r="AE224" s="22"/>
      <c r="AF224" s="22"/>
      <c r="AG224" s="22"/>
      <c r="AH224" s="122"/>
      <c r="AI224" s="110" t="str">
        <f t="shared" si="12"/>
        <v/>
      </c>
      <c r="AJ224" s="110" t="str">
        <f t="shared" si="13"/>
        <v/>
      </c>
      <c r="AK224" s="110" t="str">
        <f t="shared" si="14"/>
        <v/>
      </c>
      <c r="AL224" s="110" t="str">
        <f t="shared" si="15"/>
        <v/>
      </c>
    </row>
    <row r="225" spans="6:38" x14ac:dyDescent="0.2">
      <c r="F225" s="1"/>
      <c r="N225" s="122"/>
      <c r="O225" s="22"/>
      <c r="P225" s="22"/>
      <c r="Q225" s="22"/>
      <c r="R225" s="22"/>
      <c r="S225" s="22"/>
      <c r="T225" s="122"/>
      <c r="U225" s="122"/>
      <c r="V225" s="22"/>
      <c r="W225" s="22"/>
      <c r="X225" s="22"/>
      <c r="Y225" s="22"/>
      <c r="Z225" s="22"/>
      <c r="AA225" s="122"/>
      <c r="AB225" s="122"/>
      <c r="AC225" s="22"/>
      <c r="AD225" s="22"/>
      <c r="AE225" s="22"/>
      <c r="AF225" s="22"/>
      <c r="AG225" s="22"/>
      <c r="AH225" s="122"/>
      <c r="AI225" s="110" t="str">
        <f t="shared" si="12"/>
        <v/>
      </c>
      <c r="AJ225" s="110" t="str">
        <f t="shared" si="13"/>
        <v/>
      </c>
      <c r="AK225" s="110" t="str">
        <f t="shared" si="14"/>
        <v/>
      </c>
      <c r="AL225" s="110" t="str">
        <f t="shared" si="15"/>
        <v/>
      </c>
    </row>
    <row r="226" spans="6:38" x14ac:dyDescent="0.2">
      <c r="F226" s="1"/>
      <c r="N226" s="122"/>
      <c r="O226" s="22"/>
      <c r="P226" s="22"/>
      <c r="Q226" s="22"/>
      <c r="R226" s="22"/>
      <c r="S226" s="22"/>
      <c r="T226" s="122"/>
      <c r="U226" s="122"/>
      <c r="V226" s="22"/>
      <c r="W226" s="22"/>
      <c r="X226" s="22"/>
      <c r="Y226" s="22"/>
      <c r="Z226" s="22"/>
      <c r="AA226" s="122"/>
      <c r="AB226" s="122"/>
      <c r="AC226" s="22"/>
      <c r="AD226" s="22"/>
      <c r="AE226" s="22"/>
      <c r="AF226" s="22"/>
      <c r="AG226" s="22"/>
      <c r="AH226" s="122"/>
      <c r="AI226" s="110" t="str">
        <f t="shared" si="12"/>
        <v/>
      </c>
      <c r="AJ226" s="110" t="str">
        <f t="shared" si="13"/>
        <v/>
      </c>
      <c r="AK226" s="110" t="str">
        <f t="shared" si="14"/>
        <v/>
      </c>
      <c r="AL226" s="110" t="str">
        <f t="shared" si="15"/>
        <v/>
      </c>
    </row>
    <row r="227" spans="6:38" x14ac:dyDescent="0.2">
      <c r="F227" s="1"/>
      <c r="N227" s="122"/>
      <c r="O227" s="22"/>
      <c r="P227" s="22"/>
      <c r="Q227" s="22"/>
      <c r="R227" s="22"/>
      <c r="S227" s="22"/>
      <c r="T227" s="122"/>
      <c r="U227" s="122"/>
      <c r="V227" s="22"/>
      <c r="W227" s="22"/>
      <c r="X227" s="22"/>
      <c r="Y227" s="22"/>
      <c r="Z227" s="22"/>
      <c r="AA227" s="122"/>
      <c r="AB227" s="122"/>
      <c r="AC227" s="22"/>
      <c r="AD227" s="22"/>
      <c r="AE227" s="22"/>
      <c r="AF227" s="22"/>
      <c r="AG227" s="22"/>
      <c r="AH227" s="122"/>
      <c r="AI227" s="110" t="str">
        <f t="shared" si="12"/>
        <v/>
      </c>
      <c r="AJ227" s="110" t="str">
        <f t="shared" si="13"/>
        <v/>
      </c>
      <c r="AK227" s="110" t="str">
        <f t="shared" si="14"/>
        <v/>
      </c>
      <c r="AL227" s="110" t="str">
        <f t="shared" si="15"/>
        <v/>
      </c>
    </row>
    <row r="228" spans="6:38" x14ac:dyDescent="0.2">
      <c r="F228" s="1"/>
      <c r="N228" s="122"/>
      <c r="O228" s="22"/>
      <c r="P228" s="22"/>
      <c r="Q228" s="22"/>
      <c r="R228" s="22"/>
      <c r="S228" s="22"/>
      <c r="T228" s="122"/>
      <c r="U228" s="122"/>
      <c r="V228" s="22"/>
      <c r="W228" s="22"/>
      <c r="X228" s="22"/>
      <c r="Y228" s="22"/>
      <c r="Z228" s="22"/>
      <c r="AA228" s="122"/>
      <c r="AB228" s="122"/>
      <c r="AC228" s="22"/>
      <c r="AD228" s="22"/>
      <c r="AE228" s="22"/>
      <c r="AF228" s="22"/>
      <c r="AG228" s="22"/>
      <c r="AH228" s="122"/>
      <c r="AI228" s="110" t="str">
        <f t="shared" si="12"/>
        <v/>
      </c>
      <c r="AJ228" s="110" t="str">
        <f t="shared" si="13"/>
        <v/>
      </c>
      <c r="AK228" s="110" t="str">
        <f t="shared" si="14"/>
        <v/>
      </c>
      <c r="AL228" s="110" t="str">
        <f t="shared" si="15"/>
        <v/>
      </c>
    </row>
    <row r="229" spans="6:38" x14ac:dyDescent="0.2">
      <c r="F229" s="1"/>
      <c r="N229" s="122"/>
      <c r="O229" s="22"/>
      <c r="P229" s="22"/>
      <c r="Q229" s="22"/>
      <c r="R229" s="22"/>
      <c r="S229" s="22"/>
      <c r="T229" s="122"/>
      <c r="U229" s="122"/>
      <c r="V229" s="22"/>
      <c r="W229" s="22"/>
      <c r="X229" s="22"/>
      <c r="Y229" s="22"/>
      <c r="Z229" s="22"/>
      <c r="AA229" s="122"/>
      <c r="AB229" s="122"/>
      <c r="AC229" s="22"/>
      <c r="AD229" s="22"/>
      <c r="AE229" s="22"/>
      <c r="AF229" s="22"/>
      <c r="AG229" s="22"/>
      <c r="AH229" s="122"/>
      <c r="AI229" s="110" t="str">
        <f t="shared" si="12"/>
        <v/>
      </c>
      <c r="AJ229" s="110" t="str">
        <f t="shared" si="13"/>
        <v/>
      </c>
      <c r="AK229" s="110" t="str">
        <f t="shared" si="14"/>
        <v/>
      </c>
      <c r="AL229" s="110" t="str">
        <f t="shared" si="15"/>
        <v/>
      </c>
    </row>
    <row r="230" spans="6:38" x14ac:dyDescent="0.2">
      <c r="F230" s="1"/>
      <c r="N230" s="122"/>
      <c r="O230" s="22"/>
      <c r="P230" s="22"/>
      <c r="Q230" s="22"/>
      <c r="R230" s="22"/>
      <c r="S230" s="22"/>
      <c r="T230" s="122"/>
      <c r="U230" s="122"/>
      <c r="V230" s="22"/>
      <c r="W230" s="22"/>
      <c r="X230" s="22"/>
      <c r="Y230" s="22"/>
      <c r="Z230" s="22"/>
      <c r="AA230" s="122"/>
      <c r="AB230" s="122"/>
      <c r="AC230" s="22"/>
      <c r="AD230" s="22"/>
      <c r="AE230" s="22"/>
      <c r="AF230" s="22"/>
      <c r="AG230" s="22"/>
      <c r="AH230" s="122"/>
      <c r="AI230" s="110" t="str">
        <f t="shared" si="12"/>
        <v/>
      </c>
      <c r="AJ230" s="110" t="str">
        <f t="shared" si="13"/>
        <v/>
      </c>
      <c r="AK230" s="110" t="str">
        <f t="shared" si="14"/>
        <v/>
      </c>
      <c r="AL230" s="110" t="str">
        <f t="shared" si="15"/>
        <v/>
      </c>
    </row>
    <row r="231" spans="6:38" x14ac:dyDescent="0.2">
      <c r="F231" s="1"/>
      <c r="N231" s="122"/>
      <c r="O231" s="22"/>
      <c r="P231" s="22"/>
      <c r="Q231" s="22"/>
      <c r="R231" s="22"/>
      <c r="S231" s="22"/>
      <c r="T231" s="122"/>
      <c r="U231" s="122"/>
      <c r="V231" s="22"/>
      <c r="W231" s="22"/>
      <c r="X231" s="22"/>
      <c r="Y231" s="22"/>
      <c r="Z231" s="22"/>
      <c r="AA231" s="122"/>
      <c r="AB231" s="122"/>
      <c r="AC231" s="22"/>
      <c r="AD231" s="22"/>
      <c r="AE231" s="22"/>
      <c r="AF231" s="22"/>
      <c r="AG231" s="22"/>
      <c r="AH231" s="122"/>
      <c r="AI231" s="110" t="str">
        <f t="shared" si="12"/>
        <v/>
      </c>
      <c r="AJ231" s="110" t="str">
        <f t="shared" si="13"/>
        <v/>
      </c>
      <c r="AK231" s="110" t="str">
        <f t="shared" si="14"/>
        <v/>
      </c>
      <c r="AL231" s="110" t="str">
        <f t="shared" si="15"/>
        <v/>
      </c>
    </row>
    <row r="232" spans="6:38" x14ac:dyDescent="0.2">
      <c r="F232" s="1"/>
      <c r="N232" s="122"/>
      <c r="O232" s="22"/>
      <c r="P232" s="22"/>
      <c r="Q232" s="22"/>
      <c r="R232" s="22"/>
      <c r="S232" s="22"/>
      <c r="T232" s="122"/>
      <c r="U232" s="122"/>
      <c r="V232" s="22"/>
      <c r="W232" s="22"/>
      <c r="X232" s="22"/>
      <c r="Y232" s="22"/>
      <c r="Z232" s="22"/>
      <c r="AA232" s="122"/>
      <c r="AB232" s="122"/>
      <c r="AC232" s="22"/>
      <c r="AD232" s="22"/>
      <c r="AE232" s="22"/>
      <c r="AF232" s="22"/>
      <c r="AG232" s="22"/>
      <c r="AH232" s="122"/>
      <c r="AI232" s="110" t="str">
        <f t="shared" si="12"/>
        <v/>
      </c>
      <c r="AJ232" s="110" t="str">
        <f t="shared" si="13"/>
        <v/>
      </c>
      <c r="AK232" s="110" t="str">
        <f t="shared" si="14"/>
        <v/>
      </c>
      <c r="AL232" s="110" t="str">
        <f t="shared" si="15"/>
        <v/>
      </c>
    </row>
    <row r="233" spans="6:38" x14ac:dyDescent="0.2">
      <c r="F233" s="1"/>
      <c r="N233" s="122"/>
      <c r="O233" s="22"/>
      <c r="P233" s="22"/>
      <c r="Q233" s="22"/>
      <c r="R233" s="22"/>
      <c r="S233" s="22"/>
      <c r="T233" s="122"/>
      <c r="U233" s="122"/>
      <c r="V233" s="22"/>
      <c r="W233" s="22"/>
      <c r="X233" s="22"/>
      <c r="Y233" s="22"/>
      <c r="Z233" s="22"/>
      <c r="AA233" s="122"/>
      <c r="AB233" s="122"/>
      <c r="AC233" s="22"/>
      <c r="AD233" s="22"/>
      <c r="AE233" s="22"/>
      <c r="AF233" s="22"/>
      <c r="AG233" s="22"/>
      <c r="AH233" s="122"/>
      <c r="AI233" s="110" t="str">
        <f t="shared" si="12"/>
        <v/>
      </c>
      <c r="AJ233" s="110" t="str">
        <f t="shared" si="13"/>
        <v/>
      </c>
      <c r="AK233" s="110" t="str">
        <f t="shared" si="14"/>
        <v/>
      </c>
      <c r="AL233" s="110" t="str">
        <f t="shared" si="15"/>
        <v/>
      </c>
    </row>
    <row r="234" spans="6:38" x14ac:dyDescent="0.2">
      <c r="F234" s="1"/>
      <c r="N234" s="122"/>
      <c r="O234" s="22"/>
      <c r="P234" s="22"/>
      <c r="Q234" s="22"/>
      <c r="R234" s="22"/>
      <c r="S234" s="22"/>
      <c r="T234" s="122"/>
      <c r="U234" s="122"/>
      <c r="V234" s="22"/>
      <c r="W234" s="22"/>
      <c r="X234" s="22"/>
      <c r="Y234" s="22"/>
      <c r="Z234" s="22"/>
      <c r="AA234" s="122"/>
      <c r="AB234" s="122"/>
      <c r="AC234" s="22"/>
      <c r="AD234" s="22"/>
      <c r="AE234" s="22"/>
      <c r="AF234" s="22"/>
      <c r="AG234" s="22"/>
      <c r="AH234" s="122"/>
      <c r="AI234" s="110" t="str">
        <f t="shared" si="12"/>
        <v/>
      </c>
      <c r="AJ234" s="110" t="str">
        <f t="shared" si="13"/>
        <v/>
      </c>
      <c r="AK234" s="110" t="str">
        <f t="shared" si="14"/>
        <v/>
      </c>
      <c r="AL234" s="110" t="str">
        <f t="shared" si="15"/>
        <v/>
      </c>
    </row>
    <row r="235" spans="6:38" x14ac:dyDescent="0.2">
      <c r="F235" s="1"/>
      <c r="N235" s="122"/>
      <c r="O235" s="22"/>
      <c r="P235" s="22"/>
      <c r="Q235" s="22"/>
      <c r="R235" s="22"/>
      <c r="S235" s="22"/>
      <c r="T235" s="122"/>
      <c r="U235" s="122"/>
      <c r="V235" s="22"/>
      <c r="W235" s="22"/>
      <c r="X235" s="22"/>
      <c r="Y235" s="22"/>
      <c r="Z235" s="22"/>
      <c r="AA235" s="122"/>
      <c r="AB235" s="122"/>
      <c r="AC235" s="22"/>
      <c r="AD235" s="22"/>
      <c r="AE235" s="22"/>
      <c r="AF235" s="22"/>
      <c r="AG235" s="22"/>
      <c r="AH235" s="122"/>
      <c r="AI235" s="110" t="str">
        <f t="shared" si="12"/>
        <v/>
      </c>
      <c r="AJ235" s="110" t="str">
        <f t="shared" si="13"/>
        <v/>
      </c>
      <c r="AK235" s="110" t="str">
        <f t="shared" si="14"/>
        <v/>
      </c>
      <c r="AL235" s="110" t="str">
        <f t="shared" si="15"/>
        <v/>
      </c>
    </row>
    <row r="236" spans="6:38" x14ac:dyDescent="0.2">
      <c r="F236" s="1"/>
      <c r="N236" s="122"/>
      <c r="O236" s="22"/>
      <c r="P236" s="22"/>
      <c r="Q236" s="22"/>
      <c r="R236" s="22"/>
      <c r="S236" s="22"/>
      <c r="T236" s="122"/>
      <c r="U236" s="122"/>
      <c r="V236" s="22"/>
      <c r="W236" s="22"/>
      <c r="X236" s="22"/>
      <c r="Y236" s="22"/>
      <c r="Z236" s="22"/>
      <c r="AA236" s="122"/>
      <c r="AB236" s="122"/>
      <c r="AC236" s="22"/>
      <c r="AD236" s="22"/>
      <c r="AE236" s="22"/>
      <c r="AF236" s="22"/>
      <c r="AG236" s="22"/>
      <c r="AH236" s="122"/>
      <c r="AI236" s="110" t="str">
        <f t="shared" si="12"/>
        <v/>
      </c>
      <c r="AJ236" s="110" t="str">
        <f t="shared" si="13"/>
        <v/>
      </c>
      <c r="AK236" s="110" t="str">
        <f t="shared" si="14"/>
        <v/>
      </c>
      <c r="AL236" s="110" t="str">
        <f t="shared" si="15"/>
        <v/>
      </c>
    </row>
    <row r="237" spans="6:38" x14ac:dyDescent="0.2">
      <c r="F237" s="1"/>
      <c r="N237" s="122"/>
      <c r="O237" s="22"/>
      <c r="P237" s="22"/>
      <c r="Q237" s="22"/>
      <c r="R237" s="22"/>
      <c r="S237" s="22"/>
      <c r="T237" s="122"/>
      <c r="U237" s="122"/>
      <c r="V237" s="22"/>
      <c r="W237" s="22"/>
      <c r="X237" s="22"/>
      <c r="Y237" s="22"/>
      <c r="Z237" s="22"/>
      <c r="AA237" s="122"/>
      <c r="AB237" s="122"/>
      <c r="AC237" s="22"/>
      <c r="AD237" s="22"/>
      <c r="AE237" s="22"/>
      <c r="AF237" s="22"/>
      <c r="AG237" s="22"/>
      <c r="AH237" s="122"/>
      <c r="AI237" s="110" t="str">
        <f t="shared" si="12"/>
        <v/>
      </c>
      <c r="AJ237" s="110" t="str">
        <f t="shared" si="13"/>
        <v/>
      </c>
      <c r="AK237" s="110" t="str">
        <f t="shared" si="14"/>
        <v/>
      </c>
      <c r="AL237" s="110" t="str">
        <f t="shared" si="15"/>
        <v/>
      </c>
    </row>
    <row r="238" spans="6:38" x14ac:dyDescent="0.2">
      <c r="F238" s="1"/>
      <c r="N238" s="122"/>
      <c r="O238" s="22"/>
      <c r="P238" s="22"/>
      <c r="Q238" s="22"/>
      <c r="R238" s="22"/>
      <c r="S238" s="22"/>
      <c r="T238" s="122"/>
      <c r="U238" s="122"/>
      <c r="V238" s="22"/>
      <c r="W238" s="22"/>
      <c r="X238" s="22"/>
      <c r="Y238" s="22"/>
      <c r="Z238" s="22"/>
      <c r="AA238" s="122"/>
      <c r="AB238" s="122"/>
      <c r="AC238" s="22"/>
      <c r="AD238" s="22"/>
      <c r="AE238" s="22"/>
      <c r="AF238" s="22"/>
      <c r="AG238" s="22"/>
      <c r="AH238" s="122"/>
      <c r="AI238" s="110" t="str">
        <f t="shared" si="12"/>
        <v/>
      </c>
      <c r="AJ238" s="110" t="str">
        <f t="shared" si="13"/>
        <v/>
      </c>
      <c r="AK238" s="110" t="str">
        <f t="shared" si="14"/>
        <v/>
      </c>
      <c r="AL238" s="110" t="str">
        <f t="shared" si="15"/>
        <v/>
      </c>
    </row>
    <row r="239" spans="6:38" x14ac:dyDescent="0.2">
      <c r="F239" s="1"/>
      <c r="N239" s="122"/>
      <c r="O239" s="22"/>
      <c r="P239" s="22"/>
      <c r="Q239" s="22"/>
      <c r="R239" s="22"/>
      <c r="S239" s="22"/>
      <c r="T239" s="122"/>
      <c r="U239" s="122"/>
      <c r="V239" s="22"/>
      <c r="W239" s="22"/>
      <c r="X239" s="22"/>
      <c r="Y239" s="22"/>
      <c r="Z239" s="22"/>
      <c r="AA239" s="122"/>
      <c r="AB239" s="122"/>
      <c r="AC239" s="22"/>
      <c r="AD239" s="22"/>
      <c r="AE239" s="22"/>
      <c r="AF239" s="22"/>
      <c r="AG239" s="22"/>
      <c r="AH239" s="122"/>
      <c r="AI239" s="110" t="str">
        <f t="shared" si="12"/>
        <v/>
      </c>
      <c r="AJ239" s="110" t="str">
        <f t="shared" si="13"/>
        <v/>
      </c>
      <c r="AK239" s="110" t="str">
        <f t="shared" si="14"/>
        <v/>
      </c>
      <c r="AL239" s="110" t="str">
        <f t="shared" si="15"/>
        <v/>
      </c>
    </row>
    <row r="240" spans="6:38" x14ac:dyDescent="0.2">
      <c r="F240" s="1"/>
      <c r="N240" s="122"/>
      <c r="O240" s="22"/>
      <c r="P240" s="22"/>
      <c r="Q240" s="22"/>
      <c r="R240" s="22"/>
      <c r="S240" s="22"/>
      <c r="T240" s="122"/>
      <c r="U240" s="122"/>
      <c r="V240" s="22"/>
      <c r="W240" s="22"/>
      <c r="X240" s="22"/>
      <c r="Y240" s="22"/>
      <c r="Z240" s="22"/>
      <c r="AA240" s="122"/>
      <c r="AB240" s="122"/>
      <c r="AC240" s="22"/>
      <c r="AD240" s="22"/>
      <c r="AE240" s="22"/>
      <c r="AF240" s="22"/>
      <c r="AG240" s="22"/>
      <c r="AH240" s="122"/>
      <c r="AI240" s="110" t="str">
        <f t="shared" si="12"/>
        <v/>
      </c>
      <c r="AJ240" s="110" t="str">
        <f t="shared" si="13"/>
        <v/>
      </c>
      <c r="AK240" s="110" t="str">
        <f t="shared" si="14"/>
        <v/>
      </c>
      <c r="AL240" s="110" t="str">
        <f t="shared" si="15"/>
        <v/>
      </c>
    </row>
    <row r="241" spans="6:38" x14ac:dyDescent="0.2">
      <c r="F241" s="1"/>
      <c r="N241" s="122"/>
      <c r="O241" s="22"/>
      <c r="P241" s="22"/>
      <c r="Q241" s="22"/>
      <c r="R241" s="22"/>
      <c r="S241" s="22"/>
      <c r="T241" s="122"/>
      <c r="U241" s="122"/>
      <c r="V241" s="22"/>
      <c r="W241" s="22"/>
      <c r="X241" s="22"/>
      <c r="Y241" s="22"/>
      <c r="Z241" s="22"/>
      <c r="AA241" s="122"/>
      <c r="AB241" s="122"/>
      <c r="AC241" s="22"/>
      <c r="AD241" s="22"/>
      <c r="AE241" s="22"/>
      <c r="AF241" s="22"/>
      <c r="AG241" s="22"/>
      <c r="AH241" s="122"/>
      <c r="AI241" s="110" t="str">
        <f t="shared" si="12"/>
        <v/>
      </c>
      <c r="AJ241" s="110" t="str">
        <f t="shared" si="13"/>
        <v/>
      </c>
      <c r="AK241" s="110" t="str">
        <f t="shared" si="14"/>
        <v/>
      </c>
      <c r="AL241" s="110" t="str">
        <f t="shared" si="15"/>
        <v/>
      </c>
    </row>
    <row r="242" spans="6:38" x14ac:dyDescent="0.2">
      <c r="F242" s="1"/>
      <c r="N242" s="122"/>
      <c r="O242" s="22"/>
      <c r="P242" s="22"/>
      <c r="Q242" s="22"/>
      <c r="R242" s="22"/>
      <c r="S242" s="22"/>
      <c r="T242" s="122"/>
      <c r="U242" s="122"/>
      <c r="V242" s="22"/>
      <c r="W242" s="22"/>
      <c r="X242" s="22"/>
      <c r="Y242" s="22"/>
      <c r="Z242" s="22"/>
      <c r="AA242" s="122"/>
      <c r="AB242" s="122"/>
      <c r="AC242" s="22"/>
      <c r="AD242" s="22"/>
      <c r="AE242" s="22"/>
      <c r="AF242" s="22"/>
      <c r="AG242" s="22"/>
      <c r="AH242" s="122"/>
      <c r="AI242" s="110" t="str">
        <f t="shared" si="12"/>
        <v/>
      </c>
      <c r="AJ242" s="110" t="str">
        <f t="shared" si="13"/>
        <v/>
      </c>
      <c r="AK242" s="110" t="str">
        <f t="shared" si="14"/>
        <v/>
      </c>
      <c r="AL242" s="110" t="str">
        <f t="shared" si="15"/>
        <v/>
      </c>
    </row>
    <row r="243" spans="6:38" x14ac:dyDescent="0.2">
      <c r="F243" s="1"/>
      <c r="N243" s="122"/>
      <c r="O243" s="22"/>
      <c r="P243" s="22"/>
      <c r="Q243" s="22"/>
      <c r="R243" s="22"/>
      <c r="S243" s="22"/>
      <c r="T243" s="122"/>
      <c r="U243" s="122"/>
      <c r="V243" s="22"/>
      <c r="W243" s="22"/>
      <c r="X243" s="22"/>
      <c r="Y243" s="22"/>
      <c r="Z243" s="22"/>
      <c r="AA243" s="122"/>
      <c r="AB243" s="122"/>
      <c r="AC243" s="22"/>
      <c r="AD243" s="22"/>
      <c r="AE243" s="22"/>
      <c r="AF243" s="22"/>
      <c r="AG243" s="22"/>
      <c r="AH243" s="122"/>
      <c r="AI243" s="110" t="str">
        <f t="shared" si="12"/>
        <v/>
      </c>
      <c r="AJ243" s="110" t="str">
        <f t="shared" si="13"/>
        <v/>
      </c>
      <c r="AK243" s="110" t="str">
        <f t="shared" si="14"/>
        <v/>
      </c>
      <c r="AL243" s="110" t="str">
        <f t="shared" si="15"/>
        <v/>
      </c>
    </row>
    <row r="244" spans="6:38" x14ac:dyDescent="0.2">
      <c r="F244" s="1"/>
      <c r="N244" s="122"/>
      <c r="O244" s="22"/>
      <c r="P244" s="22"/>
      <c r="Q244" s="22"/>
      <c r="R244" s="22"/>
      <c r="S244" s="22"/>
      <c r="T244" s="122"/>
      <c r="U244" s="122"/>
      <c r="V244" s="22"/>
      <c r="W244" s="22"/>
      <c r="X244" s="22"/>
      <c r="Y244" s="22"/>
      <c r="Z244" s="22"/>
      <c r="AA244" s="122"/>
      <c r="AB244" s="122"/>
      <c r="AC244" s="22"/>
      <c r="AD244" s="22"/>
      <c r="AE244" s="22"/>
      <c r="AF244" s="22"/>
      <c r="AG244" s="22"/>
      <c r="AH244" s="122"/>
      <c r="AI244" s="110" t="str">
        <f t="shared" si="12"/>
        <v/>
      </c>
      <c r="AJ244" s="110" t="str">
        <f t="shared" si="13"/>
        <v/>
      </c>
      <c r="AK244" s="110" t="str">
        <f t="shared" si="14"/>
        <v/>
      </c>
      <c r="AL244" s="110" t="str">
        <f t="shared" si="15"/>
        <v/>
      </c>
    </row>
    <row r="245" spans="6:38" x14ac:dyDescent="0.2">
      <c r="F245" s="1"/>
      <c r="N245" s="122"/>
      <c r="O245" s="22"/>
      <c r="P245" s="22"/>
      <c r="Q245" s="22"/>
      <c r="R245" s="22"/>
      <c r="S245" s="22"/>
      <c r="T245" s="122"/>
      <c r="U245" s="122"/>
      <c r="V245" s="22"/>
      <c r="W245" s="22"/>
      <c r="X245" s="22"/>
      <c r="Y245" s="22"/>
      <c r="Z245" s="22"/>
      <c r="AA245" s="122"/>
      <c r="AB245" s="122"/>
      <c r="AC245" s="22"/>
      <c r="AD245" s="22"/>
      <c r="AE245" s="22"/>
      <c r="AF245" s="22"/>
      <c r="AG245" s="22"/>
      <c r="AH245" s="122"/>
      <c r="AI245" s="110" t="str">
        <f t="shared" si="12"/>
        <v/>
      </c>
      <c r="AJ245" s="110" t="str">
        <f t="shared" si="13"/>
        <v/>
      </c>
      <c r="AK245" s="110" t="str">
        <f t="shared" si="14"/>
        <v/>
      </c>
      <c r="AL245" s="110" t="str">
        <f t="shared" si="15"/>
        <v/>
      </c>
    </row>
    <row r="246" spans="6:38" x14ac:dyDescent="0.2">
      <c r="F246" s="1"/>
      <c r="N246" s="122"/>
      <c r="O246" s="22"/>
      <c r="P246" s="22"/>
      <c r="Q246" s="22"/>
      <c r="R246" s="22"/>
      <c r="S246" s="22"/>
      <c r="T246" s="122"/>
      <c r="U246" s="122"/>
      <c r="V246" s="22"/>
      <c r="W246" s="22"/>
      <c r="X246" s="22"/>
      <c r="Y246" s="22"/>
      <c r="Z246" s="22"/>
      <c r="AA246" s="122"/>
      <c r="AB246" s="122"/>
      <c r="AC246" s="22"/>
      <c r="AD246" s="22"/>
      <c r="AE246" s="22"/>
      <c r="AF246" s="22"/>
      <c r="AG246" s="22"/>
      <c r="AH246" s="122"/>
      <c r="AI246" s="110" t="str">
        <f t="shared" si="12"/>
        <v/>
      </c>
      <c r="AJ246" s="110" t="str">
        <f t="shared" si="13"/>
        <v/>
      </c>
      <c r="AK246" s="110" t="str">
        <f t="shared" si="14"/>
        <v/>
      </c>
      <c r="AL246" s="110" t="str">
        <f t="shared" si="15"/>
        <v/>
      </c>
    </row>
    <row r="247" spans="6:38" x14ac:dyDescent="0.2">
      <c r="F247" s="1"/>
      <c r="N247" s="122"/>
      <c r="O247" s="22"/>
      <c r="P247" s="22"/>
      <c r="Q247" s="22"/>
      <c r="R247" s="22"/>
      <c r="S247" s="22"/>
      <c r="T247" s="122"/>
      <c r="U247" s="122"/>
      <c r="V247" s="22"/>
      <c r="W247" s="22"/>
      <c r="X247" s="22"/>
      <c r="Y247" s="22"/>
      <c r="Z247" s="22"/>
      <c r="AA247" s="122"/>
      <c r="AB247" s="122"/>
      <c r="AC247" s="22"/>
      <c r="AD247" s="22"/>
      <c r="AE247" s="22"/>
      <c r="AF247" s="22"/>
      <c r="AG247" s="22"/>
      <c r="AH247" s="122"/>
      <c r="AI247" s="110" t="str">
        <f t="shared" si="12"/>
        <v/>
      </c>
      <c r="AJ247" s="110" t="str">
        <f t="shared" si="13"/>
        <v/>
      </c>
      <c r="AK247" s="110" t="str">
        <f t="shared" si="14"/>
        <v/>
      </c>
      <c r="AL247" s="110" t="str">
        <f t="shared" si="15"/>
        <v/>
      </c>
    </row>
    <row r="248" spans="6:38" x14ac:dyDescent="0.2">
      <c r="F248" s="1"/>
      <c r="N248" s="122"/>
      <c r="O248" s="22"/>
      <c r="P248" s="22"/>
      <c r="Q248" s="22"/>
      <c r="R248" s="22"/>
      <c r="S248" s="22"/>
      <c r="T248" s="122"/>
      <c r="U248" s="122"/>
      <c r="V248" s="22"/>
      <c r="W248" s="22"/>
      <c r="X248" s="22"/>
      <c r="Y248" s="22"/>
      <c r="Z248" s="22"/>
      <c r="AA248" s="122"/>
      <c r="AB248" s="122"/>
      <c r="AC248" s="22"/>
      <c r="AD248" s="22"/>
      <c r="AE248" s="22"/>
      <c r="AF248" s="22"/>
      <c r="AG248" s="22"/>
      <c r="AH248" s="122"/>
      <c r="AI248" s="110" t="str">
        <f t="shared" si="12"/>
        <v/>
      </c>
      <c r="AJ248" s="110" t="str">
        <f t="shared" si="13"/>
        <v/>
      </c>
      <c r="AK248" s="110" t="str">
        <f t="shared" si="14"/>
        <v/>
      </c>
      <c r="AL248" s="110" t="str">
        <f t="shared" si="15"/>
        <v/>
      </c>
    </row>
    <row r="249" spans="6:38" x14ac:dyDescent="0.2">
      <c r="F249" s="1"/>
      <c r="N249" s="122"/>
      <c r="O249" s="22"/>
      <c r="P249" s="22"/>
      <c r="Q249" s="22"/>
      <c r="R249" s="22"/>
      <c r="S249" s="22"/>
      <c r="T249" s="122"/>
      <c r="U249" s="122"/>
      <c r="V249" s="22"/>
      <c r="W249" s="22"/>
      <c r="X249" s="22"/>
      <c r="Y249" s="22"/>
      <c r="Z249" s="22"/>
      <c r="AA249" s="122"/>
      <c r="AB249" s="122"/>
      <c r="AC249" s="22"/>
      <c r="AD249" s="22"/>
      <c r="AE249" s="22"/>
      <c r="AF249" s="22"/>
      <c r="AG249" s="22"/>
      <c r="AH249" s="122"/>
      <c r="AI249" s="110" t="str">
        <f t="shared" si="12"/>
        <v/>
      </c>
      <c r="AJ249" s="110" t="str">
        <f t="shared" si="13"/>
        <v/>
      </c>
      <c r="AK249" s="110" t="str">
        <f t="shared" si="14"/>
        <v/>
      </c>
      <c r="AL249" s="110" t="str">
        <f t="shared" si="15"/>
        <v/>
      </c>
    </row>
    <row r="250" spans="6:38" x14ac:dyDescent="0.2">
      <c r="F250" s="1"/>
      <c r="N250" s="122"/>
      <c r="O250" s="22"/>
      <c r="P250" s="22"/>
      <c r="Q250" s="22"/>
      <c r="R250" s="22"/>
      <c r="S250" s="22"/>
      <c r="T250" s="122"/>
      <c r="U250" s="122"/>
      <c r="V250" s="22"/>
      <c r="W250" s="22"/>
      <c r="X250" s="22"/>
      <c r="Y250" s="22"/>
      <c r="Z250" s="22"/>
      <c r="AA250" s="122"/>
      <c r="AB250" s="122"/>
      <c r="AC250" s="22"/>
      <c r="AD250" s="22"/>
      <c r="AE250" s="22"/>
      <c r="AF250" s="22"/>
      <c r="AG250" s="22"/>
      <c r="AH250" s="122"/>
      <c r="AI250" s="110" t="str">
        <f t="shared" si="12"/>
        <v/>
      </c>
      <c r="AJ250" s="110" t="str">
        <f t="shared" si="13"/>
        <v/>
      </c>
      <c r="AK250" s="110" t="str">
        <f t="shared" si="14"/>
        <v/>
      </c>
      <c r="AL250" s="110" t="str">
        <f t="shared" si="15"/>
        <v/>
      </c>
    </row>
    <row r="251" spans="6:38" x14ac:dyDescent="0.2">
      <c r="F251" s="1"/>
      <c r="N251" s="122"/>
      <c r="O251" s="22"/>
      <c r="P251" s="22"/>
      <c r="Q251" s="22"/>
      <c r="R251" s="22"/>
      <c r="S251" s="22"/>
      <c r="T251" s="122"/>
      <c r="U251" s="122"/>
      <c r="V251" s="22"/>
      <c r="W251" s="22"/>
      <c r="X251" s="22"/>
      <c r="Y251" s="22"/>
      <c r="Z251" s="22"/>
      <c r="AA251" s="122"/>
      <c r="AB251" s="122"/>
      <c r="AC251" s="22"/>
      <c r="AD251" s="22"/>
      <c r="AE251" s="22"/>
      <c r="AF251" s="22"/>
      <c r="AG251" s="22"/>
      <c r="AH251" s="122"/>
      <c r="AI251" s="110" t="str">
        <f t="shared" si="12"/>
        <v/>
      </c>
      <c r="AJ251" s="110" t="str">
        <f t="shared" si="13"/>
        <v/>
      </c>
      <c r="AK251" s="110" t="str">
        <f t="shared" si="14"/>
        <v/>
      </c>
      <c r="AL251" s="110" t="str">
        <f t="shared" si="15"/>
        <v/>
      </c>
    </row>
    <row r="252" spans="6:38" x14ac:dyDescent="0.2">
      <c r="F252" s="1"/>
      <c r="N252" s="122"/>
      <c r="O252" s="22"/>
      <c r="P252" s="22"/>
      <c r="Q252" s="22"/>
      <c r="R252" s="22"/>
      <c r="S252" s="22"/>
      <c r="T252" s="122"/>
      <c r="U252" s="122"/>
      <c r="V252" s="22"/>
      <c r="W252" s="22"/>
      <c r="X252" s="22"/>
      <c r="Y252" s="22"/>
      <c r="Z252" s="22"/>
      <c r="AA252" s="122"/>
      <c r="AB252" s="122"/>
      <c r="AC252" s="22"/>
      <c r="AD252" s="22"/>
      <c r="AE252" s="22"/>
      <c r="AF252" s="22"/>
      <c r="AG252" s="22"/>
      <c r="AH252" s="122"/>
      <c r="AI252" s="110" t="str">
        <f t="shared" si="12"/>
        <v/>
      </c>
      <c r="AJ252" s="110" t="str">
        <f t="shared" si="13"/>
        <v/>
      </c>
      <c r="AK252" s="110" t="str">
        <f t="shared" si="14"/>
        <v/>
      </c>
      <c r="AL252" s="110" t="str">
        <f t="shared" si="15"/>
        <v/>
      </c>
    </row>
    <row r="253" spans="6:38" x14ac:dyDescent="0.2">
      <c r="F253" s="1"/>
      <c r="N253" s="122"/>
      <c r="O253" s="22"/>
      <c r="P253" s="22"/>
      <c r="Q253" s="22"/>
      <c r="R253" s="22"/>
      <c r="S253" s="22"/>
      <c r="T253" s="122"/>
      <c r="U253" s="122"/>
      <c r="V253" s="22"/>
      <c r="W253" s="22"/>
      <c r="X253" s="22"/>
      <c r="Y253" s="22"/>
      <c r="Z253" s="22"/>
      <c r="AA253" s="122"/>
      <c r="AB253" s="122"/>
      <c r="AC253" s="22"/>
      <c r="AD253" s="22"/>
      <c r="AE253" s="22"/>
      <c r="AF253" s="22"/>
      <c r="AG253" s="22"/>
      <c r="AH253" s="122"/>
      <c r="AI253" s="110" t="str">
        <f t="shared" si="12"/>
        <v/>
      </c>
      <c r="AJ253" s="110" t="str">
        <f t="shared" si="13"/>
        <v/>
      </c>
      <c r="AK253" s="110" t="str">
        <f t="shared" si="14"/>
        <v/>
      </c>
      <c r="AL253" s="110" t="str">
        <f t="shared" si="15"/>
        <v/>
      </c>
    </row>
    <row r="254" spans="6:38" x14ac:dyDescent="0.2">
      <c r="F254" s="1"/>
      <c r="N254" s="122"/>
      <c r="O254" s="22"/>
      <c r="P254" s="22"/>
      <c r="Q254" s="22"/>
      <c r="R254" s="22"/>
      <c r="S254" s="22"/>
      <c r="T254" s="122"/>
      <c r="U254" s="122"/>
      <c r="V254" s="22"/>
      <c r="W254" s="22"/>
      <c r="X254" s="22"/>
      <c r="Y254" s="22"/>
      <c r="Z254" s="22"/>
      <c r="AA254" s="122"/>
      <c r="AB254" s="122"/>
      <c r="AC254" s="22"/>
      <c r="AD254" s="22"/>
      <c r="AE254" s="22"/>
      <c r="AF254" s="22"/>
      <c r="AG254" s="22"/>
      <c r="AH254" s="122"/>
      <c r="AI254" s="110" t="str">
        <f t="shared" si="12"/>
        <v/>
      </c>
      <c r="AJ254" s="110" t="str">
        <f t="shared" si="13"/>
        <v/>
      </c>
      <c r="AK254" s="110" t="str">
        <f t="shared" si="14"/>
        <v/>
      </c>
      <c r="AL254" s="110" t="str">
        <f t="shared" si="15"/>
        <v/>
      </c>
    </row>
    <row r="255" spans="6:38" x14ac:dyDescent="0.2">
      <c r="F255" s="1"/>
      <c r="N255" s="122"/>
      <c r="O255" s="22"/>
      <c r="P255" s="22"/>
      <c r="Q255" s="22"/>
      <c r="R255" s="22"/>
      <c r="S255" s="22"/>
      <c r="T255" s="122"/>
      <c r="U255" s="122"/>
      <c r="V255" s="22"/>
      <c r="W255" s="22"/>
      <c r="X255" s="22"/>
      <c r="Y255" s="22"/>
      <c r="Z255" s="22"/>
      <c r="AA255" s="122"/>
      <c r="AB255" s="122"/>
      <c r="AC255" s="22"/>
      <c r="AD255" s="22"/>
      <c r="AE255" s="22"/>
      <c r="AF255" s="22"/>
      <c r="AG255" s="22"/>
      <c r="AH255" s="122"/>
      <c r="AI255" s="110" t="str">
        <f t="shared" si="12"/>
        <v/>
      </c>
      <c r="AJ255" s="110" t="str">
        <f t="shared" si="13"/>
        <v/>
      </c>
      <c r="AK255" s="110" t="str">
        <f t="shared" si="14"/>
        <v/>
      </c>
      <c r="AL255" s="110" t="str">
        <f t="shared" si="15"/>
        <v/>
      </c>
    </row>
    <row r="256" spans="6:38" x14ac:dyDescent="0.2">
      <c r="F256" s="1"/>
      <c r="N256" s="122"/>
      <c r="O256" s="22"/>
      <c r="P256" s="22"/>
      <c r="Q256" s="22"/>
      <c r="R256" s="22"/>
      <c r="S256" s="22"/>
      <c r="T256" s="122"/>
      <c r="U256" s="122"/>
      <c r="V256" s="22"/>
      <c r="W256" s="22"/>
      <c r="X256" s="22"/>
      <c r="Y256" s="22"/>
      <c r="Z256" s="22"/>
      <c r="AA256" s="122"/>
      <c r="AB256" s="122"/>
      <c r="AC256" s="22"/>
      <c r="AD256" s="22"/>
      <c r="AE256" s="22"/>
      <c r="AF256" s="22"/>
      <c r="AG256" s="22"/>
      <c r="AH256" s="122"/>
      <c r="AI256" s="110" t="str">
        <f t="shared" si="12"/>
        <v/>
      </c>
      <c r="AJ256" s="110" t="str">
        <f t="shared" si="13"/>
        <v/>
      </c>
      <c r="AK256" s="110" t="str">
        <f t="shared" si="14"/>
        <v/>
      </c>
      <c r="AL256" s="110" t="str">
        <f t="shared" si="15"/>
        <v/>
      </c>
    </row>
    <row r="257" spans="6:38" x14ac:dyDescent="0.2">
      <c r="F257" s="1"/>
      <c r="N257" s="122"/>
      <c r="O257" s="22"/>
      <c r="P257" s="22"/>
      <c r="Q257" s="22"/>
      <c r="R257" s="22"/>
      <c r="S257" s="22"/>
      <c r="T257" s="122"/>
      <c r="U257" s="122"/>
      <c r="V257" s="22"/>
      <c r="W257" s="22"/>
      <c r="X257" s="22"/>
      <c r="Y257" s="22"/>
      <c r="Z257" s="22"/>
      <c r="AA257" s="122"/>
      <c r="AB257" s="122"/>
      <c r="AC257" s="22"/>
      <c r="AD257" s="22"/>
      <c r="AE257" s="22"/>
      <c r="AF257" s="22"/>
      <c r="AG257" s="22"/>
      <c r="AH257" s="122"/>
      <c r="AI257" s="110" t="str">
        <f t="shared" si="12"/>
        <v/>
      </c>
      <c r="AJ257" s="110" t="str">
        <f t="shared" si="13"/>
        <v/>
      </c>
      <c r="AK257" s="110" t="str">
        <f t="shared" si="14"/>
        <v/>
      </c>
      <c r="AL257" s="110" t="str">
        <f t="shared" si="15"/>
        <v/>
      </c>
    </row>
    <row r="258" spans="6:38" x14ac:dyDescent="0.2">
      <c r="F258" s="1"/>
      <c r="N258" s="122"/>
      <c r="O258" s="22"/>
      <c r="P258" s="22"/>
      <c r="Q258" s="22"/>
      <c r="R258" s="22"/>
      <c r="S258" s="22"/>
      <c r="T258" s="122"/>
      <c r="U258" s="122"/>
      <c r="V258" s="22"/>
      <c r="W258" s="22"/>
      <c r="X258" s="22"/>
      <c r="Y258" s="22"/>
      <c r="Z258" s="22"/>
      <c r="AA258" s="122"/>
      <c r="AB258" s="122"/>
      <c r="AC258" s="22"/>
      <c r="AD258" s="22"/>
      <c r="AE258" s="22"/>
      <c r="AF258" s="22"/>
      <c r="AG258" s="22"/>
      <c r="AH258" s="122"/>
      <c r="AI258" s="110" t="str">
        <f t="shared" si="12"/>
        <v/>
      </c>
      <c r="AJ258" s="110" t="str">
        <f t="shared" si="13"/>
        <v/>
      </c>
      <c r="AK258" s="110" t="str">
        <f t="shared" si="14"/>
        <v/>
      </c>
      <c r="AL258" s="110" t="str">
        <f t="shared" si="15"/>
        <v/>
      </c>
    </row>
    <row r="259" spans="6:38" x14ac:dyDescent="0.2">
      <c r="F259" s="1"/>
      <c r="N259" s="122"/>
      <c r="O259" s="22"/>
      <c r="P259" s="22"/>
      <c r="Q259" s="22"/>
      <c r="R259" s="22"/>
      <c r="S259" s="22"/>
      <c r="T259" s="122"/>
      <c r="U259" s="122"/>
      <c r="V259" s="22"/>
      <c r="W259" s="22"/>
      <c r="X259" s="22"/>
      <c r="Y259" s="22"/>
      <c r="Z259" s="22"/>
      <c r="AA259" s="122"/>
      <c r="AB259" s="122"/>
      <c r="AC259" s="22"/>
      <c r="AD259" s="22"/>
      <c r="AE259" s="22"/>
      <c r="AF259" s="22"/>
      <c r="AG259" s="22"/>
      <c r="AH259" s="122"/>
      <c r="AI259" s="110" t="str">
        <f t="shared" si="12"/>
        <v/>
      </c>
      <c r="AJ259" s="110" t="str">
        <f t="shared" si="13"/>
        <v/>
      </c>
      <c r="AK259" s="110" t="str">
        <f t="shared" si="14"/>
        <v/>
      </c>
      <c r="AL259" s="110" t="str">
        <f t="shared" si="15"/>
        <v/>
      </c>
    </row>
    <row r="260" spans="6:38" x14ac:dyDescent="0.2">
      <c r="F260" s="1"/>
      <c r="N260" s="122"/>
      <c r="O260" s="22"/>
      <c r="P260" s="22"/>
      <c r="Q260" s="22"/>
      <c r="R260" s="22"/>
      <c r="S260" s="22"/>
      <c r="T260" s="122"/>
      <c r="U260" s="122"/>
      <c r="V260" s="22"/>
      <c r="W260" s="22"/>
      <c r="X260" s="22"/>
      <c r="Y260" s="22"/>
      <c r="Z260" s="22"/>
      <c r="AA260" s="122"/>
      <c r="AB260" s="122"/>
      <c r="AC260" s="22"/>
      <c r="AD260" s="22"/>
      <c r="AE260" s="22"/>
      <c r="AF260" s="22"/>
      <c r="AG260" s="22"/>
      <c r="AH260" s="122"/>
      <c r="AI260" s="110" t="str">
        <f t="shared" si="12"/>
        <v/>
      </c>
      <c r="AJ260" s="110" t="str">
        <f t="shared" si="13"/>
        <v/>
      </c>
      <c r="AK260" s="110" t="str">
        <f t="shared" si="14"/>
        <v/>
      </c>
      <c r="AL260" s="110" t="str">
        <f t="shared" si="15"/>
        <v/>
      </c>
    </row>
    <row r="261" spans="6:38" x14ac:dyDescent="0.2">
      <c r="F261" s="1"/>
      <c r="N261" s="122"/>
      <c r="O261" s="22"/>
      <c r="P261" s="22"/>
      <c r="Q261" s="22"/>
      <c r="R261" s="22"/>
      <c r="S261" s="22"/>
      <c r="T261" s="122"/>
      <c r="U261" s="122"/>
      <c r="V261" s="22"/>
      <c r="W261" s="22"/>
      <c r="X261" s="22"/>
      <c r="Y261" s="22"/>
      <c r="Z261" s="22"/>
      <c r="AA261" s="122"/>
      <c r="AB261" s="122"/>
      <c r="AC261" s="22"/>
      <c r="AD261" s="22"/>
      <c r="AE261" s="22"/>
      <c r="AF261" s="22"/>
      <c r="AG261" s="22"/>
      <c r="AH261" s="122"/>
      <c r="AI261" s="110" t="str">
        <f t="shared" si="12"/>
        <v/>
      </c>
      <c r="AJ261" s="110" t="str">
        <f t="shared" si="13"/>
        <v/>
      </c>
      <c r="AK261" s="110" t="str">
        <f t="shared" si="14"/>
        <v/>
      </c>
      <c r="AL261" s="110" t="str">
        <f t="shared" si="15"/>
        <v/>
      </c>
    </row>
    <row r="262" spans="6:38" x14ac:dyDescent="0.2">
      <c r="F262" s="1"/>
      <c r="N262" s="122"/>
      <c r="O262" s="22"/>
      <c r="P262" s="22"/>
      <c r="Q262" s="22"/>
      <c r="R262" s="22"/>
      <c r="S262" s="22"/>
      <c r="T262" s="122"/>
      <c r="U262" s="122"/>
      <c r="V262" s="22"/>
      <c r="W262" s="22"/>
      <c r="X262" s="22"/>
      <c r="Y262" s="22"/>
      <c r="Z262" s="22"/>
      <c r="AA262" s="122"/>
      <c r="AB262" s="122"/>
      <c r="AC262" s="22"/>
      <c r="AD262" s="22"/>
      <c r="AE262" s="22"/>
      <c r="AF262" s="22"/>
      <c r="AG262" s="22"/>
      <c r="AH262" s="122"/>
      <c r="AI262" s="110" t="str">
        <f t="shared" si="12"/>
        <v/>
      </c>
      <c r="AJ262" s="110" t="str">
        <f t="shared" si="13"/>
        <v/>
      </c>
      <c r="AK262" s="110" t="str">
        <f t="shared" si="14"/>
        <v/>
      </c>
      <c r="AL262" s="110" t="str">
        <f t="shared" si="15"/>
        <v/>
      </c>
    </row>
    <row r="263" spans="6:38" x14ac:dyDescent="0.2">
      <c r="F263" s="1"/>
      <c r="N263" s="122"/>
      <c r="O263" s="22"/>
      <c r="P263" s="22"/>
      <c r="Q263" s="22"/>
      <c r="R263" s="22"/>
      <c r="S263" s="22"/>
      <c r="T263" s="122"/>
      <c r="U263" s="122"/>
      <c r="V263" s="22"/>
      <c r="W263" s="22"/>
      <c r="X263" s="22"/>
      <c r="Y263" s="22"/>
      <c r="Z263" s="22"/>
      <c r="AA263" s="122"/>
      <c r="AB263" s="122"/>
      <c r="AC263" s="22"/>
      <c r="AD263" s="22"/>
      <c r="AE263" s="22"/>
      <c r="AF263" s="22"/>
      <c r="AG263" s="22"/>
      <c r="AH263" s="122"/>
      <c r="AI263" s="110" t="str">
        <f t="shared" si="12"/>
        <v/>
      </c>
      <c r="AJ263" s="110" t="str">
        <f t="shared" si="13"/>
        <v/>
      </c>
      <c r="AK263" s="110" t="str">
        <f t="shared" si="14"/>
        <v/>
      </c>
      <c r="AL263" s="110" t="str">
        <f t="shared" si="15"/>
        <v/>
      </c>
    </row>
    <row r="264" spans="6:38" x14ac:dyDescent="0.2">
      <c r="F264" s="1"/>
      <c r="N264" s="122"/>
      <c r="O264" s="22"/>
      <c r="P264" s="22"/>
      <c r="Q264" s="22"/>
      <c r="R264" s="22"/>
      <c r="S264" s="22"/>
      <c r="T264" s="122"/>
      <c r="U264" s="122"/>
      <c r="V264" s="22"/>
      <c r="W264" s="22"/>
      <c r="X264" s="22"/>
      <c r="Y264" s="22"/>
      <c r="Z264" s="22"/>
      <c r="AA264" s="122"/>
      <c r="AB264" s="122"/>
      <c r="AC264" s="22"/>
      <c r="AD264" s="22"/>
      <c r="AE264" s="22"/>
      <c r="AF264" s="22"/>
      <c r="AG264" s="22"/>
      <c r="AH264" s="122"/>
      <c r="AI264" s="110" t="str">
        <f t="shared" ref="AI264:AI308" si="16">IF(F264&lt;&gt;0,F264,"")</f>
        <v/>
      </c>
      <c r="AJ264" s="110" t="str">
        <f t="shared" ref="AJ264:AJ308" si="17">IF(SUM(N264:AH264)&gt;0,SUM(N264:AH264),"")</f>
        <v/>
      </c>
      <c r="AK264" s="110" t="str">
        <f t="shared" ref="AK264:AK308" si="18">IF(F264&lt;&gt;0,F264,"")</f>
        <v/>
      </c>
      <c r="AL264" s="110" t="str">
        <f t="shared" ref="AL264:AL308" si="19">IF(COUNTA(N264:AH264)&gt;0,COUNTA(N264:AH264),"")</f>
        <v/>
      </c>
    </row>
    <row r="265" spans="6:38" x14ac:dyDescent="0.2">
      <c r="F265" s="1"/>
      <c r="N265" s="122"/>
      <c r="O265" s="22"/>
      <c r="P265" s="22"/>
      <c r="Q265" s="22"/>
      <c r="R265" s="22"/>
      <c r="S265" s="22"/>
      <c r="T265" s="122"/>
      <c r="U265" s="122"/>
      <c r="V265" s="22"/>
      <c r="W265" s="22"/>
      <c r="X265" s="22"/>
      <c r="Y265" s="22"/>
      <c r="Z265" s="22"/>
      <c r="AA265" s="122"/>
      <c r="AB265" s="122"/>
      <c r="AC265" s="22"/>
      <c r="AD265" s="22"/>
      <c r="AE265" s="22"/>
      <c r="AF265" s="22"/>
      <c r="AG265" s="22"/>
      <c r="AH265" s="122"/>
      <c r="AI265" s="110" t="str">
        <f t="shared" si="16"/>
        <v/>
      </c>
      <c r="AJ265" s="110" t="str">
        <f t="shared" si="17"/>
        <v/>
      </c>
      <c r="AK265" s="110" t="str">
        <f t="shared" si="18"/>
        <v/>
      </c>
      <c r="AL265" s="110" t="str">
        <f t="shared" si="19"/>
        <v/>
      </c>
    </row>
    <row r="266" spans="6:38" x14ac:dyDescent="0.2">
      <c r="F266" s="1"/>
      <c r="N266" s="122"/>
      <c r="O266" s="22"/>
      <c r="P266" s="22"/>
      <c r="Q266" s="22"/>
      <c r="R266" s="22"/>
      <c r="S266" s="22"/>
      <c r="T266" s="122"/>
      <c r="U266" s="122"/>
      <c r="V266" s="22"/>
      <c r="W266" s="22"/>
      <c r="X266" s="22"/>
      <c r="Y266" s="22"/>
      <c r="Z266" s="22"/>
      <c r="AA266" s="122"/>
      <c r="AB266" s="122"/>
      <c r="AC266" s="22"/>
      <c r="AD266" s="22"/>
      <c r="AE266" s="22"/>
      <c r="AF266" s="22"/>
      <c r="AG266" s="22"/>
      <c r="AH266" s="122"/>
      <c r="AI266" s="110" t="str">
        <f t="shared" si="16"/>
        <v/>
      </c>
      <c r="AJ266" s="110" t="str">
        <f t="shared" si="17"/>
        <v/>
      </c>
      <c r="AK266" s="110" t="str">
        <f t="shared" si="18"/>
        <v/>
      </c>
      <c r="AL266" s="110" t="str">
        <f t="shared" si="19"/>
        <v/>
      </c>
    </row>
    <row r="267" spans="6:38" x14ac:dyDescent="0.2">
      <c r="F267" s="1"/>
      <c r="N267" s="122"/>
      <c r="O267" s="22"/>
      <c r="P267" s="22"/>
      <c r="Q267" s="22"/>
      <c r="R267" s="22"/>
      <c r="S267" s="22"/>
      <c r="T267" s="122"/>
      <c r="U267" s="122"/>
      <c r="V267" s="22"/>
      <c r="W267" s="22"/>
      <c r="X267" s="22"/>
      <c r="Y267" s="22"/>
      <c r="Z267" s="22"/>
      <c r="AA267" s="122"/>
      <c r="AB267" s="122"/>
      <c r="AC267" s="22"/>
      <c r="AD267" s="22"/>
      <c r="AE267" s="22"/>
      <c r="AF267" s="22"/>
      <c r="AG267" s="22"/>
      <c r="AH267" s="122"/>
      <c r="AI267" s="110" t="str">
        <f t="shared" si="16"/>
        <v/>
      </c>
      <c r="AJ267" s="110" t="str">
        <f t="shared" si="17"/>
        <v/>
      </c>
      <c r="AK267" s="110" t="str">
        <f t="shared" si="18"/>
        <v/>
      </c>
      <c r="AL267" s="110" t="str">
        <f t="shared" si="19"/>
        <v/>
      </c>
    </row>
    <row r="268" spans="6:38" x14ac:dyDescent="0.2">
      <c r="F268" s="1"/>
      <c r="N268" s="122"/>
      <c r="O268" s="22"/>
      <c r="P268" s="22"/>
      <c r="Q268" s="22"/>
      <c r="R268" s="22"/>
      <c r="S268" s="22"/>
      <c r="T268" s="122"/>
      <c r="U268" s="122"/>
      <c r="V268" s="22"/>
      <c r="W268" s="22"/>
      <c r="X268" s="22"/>
      <c r="Y268" s="22"/>
      <c r="Z268" s="22"/>
      <c r="AA268" s="122"/>
      <c r="AB268" s="122"/>
      <c r="AC268" s="22"/>
      <c r="AD268" s="22"/>
      <c r="AE268" s="22"/>
      <c r="AF268" s="22"/>
      <c r="AG268" s="22"/>
      <c r="AH268" s="122"/>
      <c r="AI268" s="110" t="str">
        <f t="shared" si="16"/>
        <v/>
      </c>
      <c r="AJ268" s="110" t="str">
        <f t="shared" si="17"/>
        <v/>
      </c>
      <c r="AK268" s="110" t="str">
        <f t="shared" si="18"/>
        <v/>
      </c>
      <c r="AL268" s="110" t="str">
        <f t="shared" si="19"/>
        <v/>
      </c>
    </row>
    <row r="269" spans="6:38" x14ac:dyDescent="0.2">
      <c r="F269" s="1"/>
      <c r="N269" s="122"/>
      <c r="O269" s="22"/>
      <c r="P269" s="22"/>
      <c r="Q269" s="22"/>
      <c r="R269" s="22"/>
      <c r="S269" s="22"/>
      <c r="T269" s="122"/>
      <c r="U269" s="122"/>
      <c r="V269" s="22"/>
      <c r="W269" s="22"/>
      <c r="X269" s="22"/>
      <c r="Y269" s="22"/>
      <c r="Z269" s="22"/>
      <c r="AA269" s="122"/>
      <c r="AB269" s="122"/>
      <c r="AC269" s="22"/>
      <c r="AD269" s="22"/>
      <c r="AE269" s="22"/>
      <c r="AF269" s="22"/>
      <c r="AG269" s="22"/>
      <c r="AH269" s="122"/>
      <c r="AI269" s="110" t="str">
        <f t="shared" si="16"/>
        <v/>
      </c>
      <c r="AJ269" s="110" t="str">
        <f t="shared" si="17"/>
        <v/>
      </c>
      <c r="AK269" s="110" t="str">
        <f t="shared" si="18"/>
        <v/>
      </c>
      <c r="AL269" s="110" t="str">
        <f t="shared" si="19"/>
        <v/>
      </c>
    </row>
    <row r="270" spans="6:38" x14ac:dyDescent="0.2">
      <c r="F270" s="1"/>
      <c r="N270" s="122"/>
      <c r="O270" s="22"/>
      <c r="P270" s="22"/>
      <c r="Q270" s="22"/>
      <c r="R270" s="22"/>
      <c r="S270" s="22"/>
      <c r="T270" s="122"/>
      <c r="U270" s="122"/>
      <c r="V270" s="22"/>
      <c r="W270" s="22"/>
      <c r="X270" s="22"/>
      <c r="Y270" s="22"/>
      <c r="Z270" s="22"/>
      <c r="AA270" s="122"/>
      <c r="AB270" s="122"/>
      <c r="AC270" s="22"/>
      <c r="AD270" s="22"/>
      <c r="AE270" s="22"/>
      <c r="AF270" s="22"/>
      <c r="AG270" s="22"/>
      <c r="AH270" s="122"/>
      <c r="AI270" s="110" t="str">
        <f t="shared" si="16"/>
        <v/>
      </c>
      <c r="AJ270" s="110" t="str">
        <f t="shared" si="17"/>
        <v/>
      </c>
      <c r="AK270" s="110" t="str">
        <f t="shared" si="18"/>
        <v/>
      </c>
      <c r="AL270" s="110" t="str">
        <f t="shared" si="19"/>
        <v/>
      </c>
    </row>
    <row r="271" spans="6:38" x14ac:dyDescent="0.2">
      <c r="F271" s="1"/>
      <c r="N271" s="122"/>
      <c r="O271" s="22"/>
      <c r="P271" s="22"/>
      <c r="Q271" s="22"/>
      <c r="R271" s="22"/>
      <c r="S271" s="22"/>
      <c r="T271" s="122"/>
      <c r="U271" s="122"/>
      <c r="V271" s="22"/>
      <c r="W271" s="22"/>
      <c r="X271" s="22"/>
      <c r="Y271" s="22"/>
      <c r="Z271" s="22"/>
      <c r="AA271" s="122"/>
      <c r="AB271" s="122"/>
      <c r="AC271" s="22"/>
      <c r="AD271" s="22"/>
      <c r="AE271" s="22"/>
      <c r="AF271" s="22"/>
      <c r="AG271" s="22"/>
      <c r="AH271" s="122"/>
      <c r="AI271" s="110" t="str">
        <f t="shared" si="16"/>
        <v/>
      </c>
      <c r="AJ271" s="110" t="str">
        <f t="shared" si="17"/>
        <v/>
      </c>
      <c r="AK271" s="110" t="str">
        <f t="shared" si="18"/>
        <v/>
      </c>
      <c r="AL271" s="110" t="str">
        <f t="shared" si="19"/>
        <v/>
      </c>
    </row>
    <row r="272" spans="6:38" x14ac:dyDescent="0.2">
      <c r="F272" s="1"/>
      <c r="N272" s="122"/>
      <c r="O272" s="22"/>
      <c r="P272" s="22"/>
      <c r="Q272" s="22"/>
      <c r="R272" s="22"/>
      <c r="S272" s="22"/>
      <c r="T272" s="122"/>
      <c r="U272" s="122"/>
      <c r="V272" s="22"/>
      <c r="W272" s="22"/>
      <c r="X272" s="22"/>
      <c r="Y272" s="22"/>
      <c r="Z272" s="22"/>
      <c r="AA272" s="122"/>
      <c r="AB272" s="122"/>
      <c r="AC272" s="22"/>
      <c r="AD272" s="22"/>
      <c r="AE272" s="22"/>
      <c r="AF272" s="22"/>
      <c r="AG272" s="22"/>
      <c r="AH272" s="122"/>
      <c r="AI272" s="110" t="str">
        <f t="shared" si="16"/>
        <v/>
      </c>
      <c r="AJ272" s="110" t="str">
        <f t="shared" si="17"/>
        <v/>
      </c>
      <c r="AK272" s="110" t="str">
        <f t="shared" si="18"/>
        <v/>
      </c>
      <c r="AL272" s="110" t="str">
        <f t="shared" si="19"/>
        <v/>
      </c>
    </row>
    <row r="273" spans="6:38" x14ac:dyDescent="0.2">
      <c r="F273" s="1"/>
      <c r="N273" s="122"/>
      <c r="O273" s="22"/>
      <c r="P273" s="22"/>
      <c r="Q273" s="22"/>
      <c r="R273" s="22"/>
      <c r="S273" s="22"/>
      <c r="T273" s="122"/>
      <c r="U273" s="122"/>
      <c r="V273" s="22"/>
      <c r="W273" s="22"/>
      <c r="X273" s="22"/>
      <c r="Y273" s="22"/>
      <c r="Z273" s="22"/>
      <c r="AA273" s="122"/>
      <c r="AB273" s="122"/>
      <c r="AC273" s="22"/>
      <c r="AD273" s="22"/>
      <c r="AE273" s="22"/>
      <c r="AF273" s="22"/>
      <c r="AG273" s="22"/>
      <c r="AH273" s="122"/>
      <c r="AI273" s="110" t="str">
        <f t="shared" si="16"/>
        <v/>
      </c>
      <c r="AJ273" s="110" t="str">
        <f t="shared" si="17"/>
        <v/>
      </c>
      <c r="AK273" s="110" t="str">
        <f t="shared" si="18"/>
        <v/>
      </c>
      <c r="AL273" s="110" t="str">
        <f t="shared" si="19"/>
        <v/>
      </c>
    </row>
    <row r="274" spans="6:38" x14ac:dyDescent="0.2">
      <c r="F274" s="1"/>
      <c r="N274" s="122"/>
      <c r="O274" s="22"/>
      <c r="P274" s="22"/>
      <c r="Q274" s="22"/>
      <c r="R274" s="22"/>
      <c r="S274" s="22"/>
      <c r="T274" s="122"/>
      <c r="U274" s="122"/>
      <c r="V274" s="22"/>
      <c r="W274" s="22"/>
      <c r="X274" s="22"/>
      <c r="Y274" s="22"/>
      <c r="Z274" s="22"/>
      <c r="AA274" s="122"/>
      <c r="AB274" s="122"/>
      <c r="AC274" s="22"/>
      <c r="AD274" s="22"/>
      <c r="AE274" s="22"/>
      <c r="AF274" s="22"/>
      <c r="AG274" s="22"/>
      <c r="AH274" s="122"/>
      <c r="AI274" s="110" t="str">
        <f t="shared" si="16"/>
        <v/>
      </c>
      <c r="AJ274" s="110" t="str">
        <f t="shared" si="17"/>
        <v/>
      </c>
      <c r="AK274" s="110" t="str">
        <f t="shared" si="18"/>
        <v/>
      </c>
      <c r="AL274" s="110" t="str">
        <f t="shared" si="19"/>
        <v/>
      </c>
    </row>
    <row r="275" spans="6:38" x14ac:dyDescent="0.2">
      <c r="F275" s="1"/>
      <c r="N275" s="122"/>
      <c r="O275" s="22"/>
      <c r="P275" s="22"/>
      <c r="Q275" s="22"/>
      <c r="R275" s="22"/>
      <c r="S275" s="22"/>
      <c r="T275" s="122"/>
      <c r="U275" s="122"/>
      <c r="V275" s="22"/>
      <c r="W275" s="22"/>
      <c r="X275" s="22"/>
      <c r="Y275" s="22"/>
      <c r="Z275" s="22"/>
      <c r="AA275" s="122"/>
      <c r="AB275" s="122"/>
      <c r="AC275" s="22"/>
      <c r="AD275" s="22"/>
      <c r="AE275" s="22"/>
      <c r="AF275" s="22"/>
      <c r="AG275" s="22"/>
      <c r="AH275" s="122"/>
      <c r="AI275" s="110" t="str">
        <f t="shared" si="16"/>
        <v/>
      </c>
      <c r="AJ275" s="110" t="str">
        <f t="shared" si="17"/>
        <v/>
      </c>
      <c r="AK275" s="110" t="str">
        <f t="shared" si="18"/>
        <v/>
      </c>
      <c r="AL275" s="110" t="str">
        <f t="shared" si="19"/>
        <v/>
      </c>
    </row>
    <row r="276" spans="6:38" x14ac:dyDescent="0.2">
      <c r="F276" s="1"/>
      <c r="N276" s="122"/>
      <c r="O276" s="22"/>
      <c r="P276" s="22"/>
      <c r="Q276" s="22"/>
      <c r="R276" s="22"/>
      <c r="S276" s="22"/>
      <c r="T276" s="122"/>
      <c r="U276" s="122"/>
      <c r="V276" s="22"/>
      <c r="W276" s="22"/>
      <c r="X276" s="22"/>
      <c r="Y276" s="22"/>
      <c r="Z276" s="22"/>
      <c r="AA276" s="122"/>
      <c r="AB276" s="122"/>
      <c r="AC276" s="22"/>
      <c r="AD276" s="22"/>
      <c r="AE276" s="22"/>
      <c r="AF276" s="22"/>
      <c r="AG276" s="22"/>
      <c r="AH276" s="122"/>
      <c r="AI276" s="110" t="str">
        <f t="shared" si="16"/>
        <v/>
      </c>
      <c r="AJ276" s="110" t="str">
        <f t="shared" si="17"/>
        <v/>
      </c>
      <c r="AK276" s="110" t="str">
        <f t="shared" si="18"/>
        <v/>
      </c>
      <c r="AL276" s="110" t="str">
        <f t="shared" si="19"/>
        <v/>
      </c>
    </row>
    <row r="277" spans="6:38" x14ac:dyDescent="0.2">
      <c r="F277" s="1"/>
      <c r="N277" s="122"/>
      <c r="O277" s="22"/>
      <c r="P277" s="22"/>
      <c r="Q277" s="22"/>
      <c r="R277" s="22"/>
      <c r="S277" s="22"/>
      <c r="T277" s="122"/>
      <c r="U277" s="122"/>
      <c r="V277" s="22"/>
      <c r="W277" s="22"/>
      <c r="X277" s="22"/>
      <c r="Y277" s="22"/>
      <c r="Z277" s="22"/>
      <c r="AA277" s="122"/>
      <c r="AB277" s="122"/>
      <c r="AC277" s="22"/>
      <c r="AD277" s="22"/>
      <c r="AE277" s="22"/>
      <c r="AF277" s="22"/>
      <c r="AG277" s="22"/>
      <c r="AH277" s="122"/>
      <c r="AI277" s="110" t="str">
        <f t="shared" si="16"/>
        <v/>
      </c>
      <c r="AJ277" s="110" t="str">
        <f t="shared" si="17"/>
        <v/>
      </c>
      <c r="AK277" s="110" t="str">
        <f t="shared" si="18"/>
        <v/>
      </c>
      <c r="AL277" s="110" t="str">
        <f t="shared" si="19"/>
        <v/>
      </c>
    </row>
    <row r="278" spans="6:38" x14ac:dyDescent="0.2">
      <c r="F278" s="1"/>
      <c r="N278" s="122"/>
      <c r="O278" s="22"/>
      <c r="P278" s="22"/>
      <c r="Q278" s="22"/>
      <c r="R278" s="22"/>
      <c r="S278" s="22"/>
      <c r="T278" s="122"/>
      <c r="U278" s="122"/>
      <c r="V278" s="22"/>
      <c r="W278" s="22"/>
      <c r="X278" s="22"/>
      <c r="Y278" s="22"/>
      <c r="Z278" s="22"/>
      <c r="AA278" s="122"/>
      <c r="AB278" s="122"/>
      <c r="AC278" s="22"/>
      <c r="AD278" s="22"/>
      <c r="AE278" s="22"/>
      <c r="AF278" s="22"/>
      <c r="AG278" s="22"/>
      <c r="AH278" s="122"/>
      <c r="AI278" s="110" t="str">
        <f t="shared" si="16"/>
        <v/>
      </c>
      <c r="AJ278" s="110" t="str">
        <f t="shared" si="17"/>
        <v/>
      </c>
      <c r="AK278" s="110" t="str">
        <f t="shared" si="18"/>
        <v/>
      </c>
      <c r="AL278" s="110" t="str">
        <f t="shared" si="19"/>
        <v/>
      </c>
    </row>
    <row r="279" spans="6:38" x14ac:dyDescent="0.2">
      <c r="F279" s="1"/>
      <c r="N279" s="122"/>
      <c r="O279" s="22"/>
      <c r="P279" s="22"/>
      <c r="Q279" s="22"/>
      <c r="R279" s="22"/>
      <c r="S279" s="22"/>
      <c r="T279" s="122"/>
      <c r="U279" s="122"/>
      <c r="V279" s="22"/>
      <c r="W279" s="22"/>
      <c r="X279" s="22"/>
      <c r="Y279" s="22"/>
      <c r="Z279" s="22"/>
      <c r="AA279" s="122"/>
      <c r="AB279" s="122"/>
      <c r="AC279" s="22"/>
      <c r="AD279" s="22"/>
      <c r="AE279" s="22"/>
      <c r="AF279" s="22"/>
      <c r="AG279" s="22"/>
      <c r="AH279" s="122"/>
      <c r="AI279" s="110" t="str">
        <f t="shared" si="16"/>
        <v/>
      </c>
      <c r="AJ279" s="110" t="str">
        <f t="shared" si="17"/>
        <v/>
      </c>
      <c r="AK279" s="110" t="str">
        <f t="shared" si="18"/>
        <v/>
      </c>
      <c r="AL279" s="110" t="str">
        <f t="shared" si="19"/>
        <v/>
      </c>
    </row>
    <row r="280" spans="6:38" x14ac:dyDescent="0.2">
      <c r="F280" s="1"/>
      <c r="N280" s="122"/>
      <c r="O280" s="22"/>
      <c r="P280" s="22"/>
      <c r="Q280" s="22"/>
      <c r="R280" s="22"/>
      <c r="S280" s="22"/>
      <c r="T280" s="122"/>
      <c r="U280" s="122"/>
      <c r="V280" s="22"/>
      <c r="W280" s="22"/>
      <c r="X280" s="22"/>
      <c r="Y280" s="22"/>
      <c r="Z280" s="22"/>
      <c r="AA280" s="122"/>
      <c r="AB280" s="122"/>
      <c r="AC280" s="22"/>
      <c r="AD280" s="22"/>
      <c r="AE280" s="22"/>
      <c r="AF280" s="22"/>
      <c r="AG280" s="22"/>
      <c r="AH280" s="122"/>
      <c r="AI280" s="110" t="str">
        <f t="shared" si="16"/>
        <v/>
      </c>
      <c r="AJ280" s="110" t="str">
        <f t="shared" si="17"/>
        <v/>
      </c>
      <c r="AK280" s="110" t="str">
        <f t="shared" si="18"/>
        <v/>
      </c>
      <c r="AL280" s="110" t="str">
        <f t="shared" si="19"/>
        <v/>
      </c>
    </row>
    <row r="281" spans="6:38" x14ac:dyDescent="0.2">
      <c r="F281" s="1"/>
      <c r="N281" s="122"/>
      <c r="O281" s="22"/>
      <c r="P281" s="22"/>
      <c r="Q281" s="22"/>
      <c r="R281" s="22"/>
      <c r="S281" s="22"/>
      <c r="T281" s="122"/>
      <c r="U281" s="122"/>
      <c r="V281" s="22"/>
      <c r="W281" s="22"/>
      <c r="X281" s="22"/>
      <c r="Y281" s="22"/>
      <c r="Z281" s="22"/>
      <c r="AA281" s="122"/>
      <c r="AB281" s="122"/>
      <c r="AC281" s="22"/>
      <c r="AD281" s="22"/>
      <c r="AE281" s="22"/>
      <c r="AF281" s="22"/>
      <c r="AG281" s="22"/>
      <c r="AH281" s="122"/>
      <c r="AI281" s="110" t="str">
        <f t="shared" si="16"/>
        <v/>
      </c>
      <c r="AJ281" s="110" t="str">
        <f t="shared" si="17"/>
        <v/>
      </c>
      <c r="AK281" s="110" t="str">
        <f t="shared" si="18"/>
        <v/>
      </c>
      <c r="AL281" s="110" t="str">
        <f t="shared" si="19"/>
        <v/>
      </c>
    </row>
    <row r="282" spans="6:38" x14ac:dyDescent="0.2">
      <c r="F282" s="1"/>
      <c r="N282" s="122"/>
      <c r="O282" s="22"/>
      <c r="P282" s="22"/>
      <c r="Q282" s="22"/>
      <c r="R282" s="22"/>
      <c r="S282" s="22"/>
      <c r="T282" s="122"/>
      <c r="U282" s="122"/>
      <c r="V282" s="22"/>
      <c r="W282" s="22"/>
      <c r="X282" s="22"/>
      <c r="Y282" s="22"/>
      <c r="Z282" s="22"/>
      <c r="AA282" s="122"/>
      <c r="AB282" s="122"/>
      <c r="AC282" s="22"/>
      <c r="AD282" s="22"/>
      <c r="AE282" s="22"/>
      <c r="AF282" s="22"/>
      <c r="AG282" s="22"/>
      <c r="AH282" s="122"/>
      <c r="AI282" s="110" t="str">
        <f t="shared" si="16"/>
        <v/>
      </c>
      <c r="AJ282" s="110" t="str">
        <f t="shared" si="17"/>
        <v/>
      </c>
      <c r="AK282" s="110" t="str">
        <f t="shared" si="18"/>
        <v/>
      </c>
      <c r="AL282" s="110" t="str">
        <f t="shared" si="19"/>
        <v/>
      </c>
    </row>
    <row r="283" spans="6:38" x14ac:dyDescent="0.2">
      <c r="F283" s="1"/>
      <c r="N283" s="122"/>
      <c r="O283" s="22"/>
      <c r="P283" s="22"/>
      <c r="Q283" s="22"/>
      <c r="R283" s="22"/>
      <c r="S283" s="22"/>
      <c r="T283" s="122"/>
      <c r="U283" s="122"/>
      <c r="V283" s="22"/>
      <c r="W283" s="22"/>
      <c r="X283" s="22"/>
      <c r="Y283" s="22"/>
      <c r="Z283" s="22"/>
      <c r="AA283" s="122"/>
      <c r="AB283" s="122"/>
      <c r="AC283" s="22"/>
      <c r="AD283" s="22"/>
      <c r="AE283" s="22"/>
      <c r="AF283" s="22"/>
      <c r="AG283" s="22"/>
      <c r="AH283" s="122"/>
      <c r="AI283" s="110" t="str">
        <f t="shared" si="16"/>
        <v/>
      </c>
      <c r="AJ283" s="110" t="str">
        <f t="shared" si="17"/>
        <v/>
      </c>
      <c r="AK283" s="110" t="str">
        <f t="shared" si="18"/>
        <v/>
      </c>
      <c r="AL283" s="110" t="str">
        <f t="shared" si="19"/>
        <v/>
      </c>
    </row>
    <row r="284" spans="6:38" x14ac:dyDescent="0.2">
      <c r="F284" s="1"/>
      <c r="N284" s="122"/>
      <c r="O284" s="22"/>
      <c r="P284" s="22"/>
      <c r="Q284" s="22"/>
      <c r="R284" s="22"/>
      <c r="S284" s="22"/>
      <c r="T284" s="122"/>
      <c r="U284" s="122"/>
      <c r="V284" s="22"/>
      <c r="W284" s="22"/>
      <c r="X284" s="22"/>
      <c r="Y284" s="22"/>
      <c r="Z284" s="22"/>
      <c r="AA284" s="122"/>
      <c r="AB284" s="122"/>
      <c r="AC284" s="22"/>
      <c r="AD284" s="22"/>
      <c r="AE284" s="22"/>
      <c r="AF284" s="22"/>
      <c r="AG284" s="22"/>
      <c r="AH284" s="122"/>
      <c r="AI284" s="110" t="str">
        <f t="shared" si="16"/>
        <v/>
      </c>
      <c r="AJ284" s="110" t="str">
        <f t="shared" si="17"/>
        <v/>
      </c>
      <c r="AK284" s="110" t="str">
        <f t="shared" si="18"/>
        <v/>
      </c>
      <c r="AL284" s="110" t="str">
        <f t="shared" si="19"/>
        <v/>
      </c>
    </row>
    <row r="285" spans="6:38" x14ac:dyDescent="0.2">
      <c r="F285" s="1"/>
      <c r="N285" s="122"/>
      <c r="O285" s="22"/>
      <c r="P285" s="22"/>
      <c r="Q285" s="22"/>
      <c r="R285" s="22"/>
      <c r="S285" s="22"/>
      <c r="T285" s="122"/>
      <c r="U285" s="122"/>
      <c r="V285" s="22"/>
      <c r="W285" s="22"/>
      <c r="X285" s="22"/>
      <c r="Y285" s="22"/>
      <c r="Z285" s="22"/>
      <c r="AA285" s="122"/>
      <c r="AB285" s="122"/>
      <c r="AC285" s="22"/>
      <c r="AD285" s="22"/>
      <c r="AE285" s="22"/>
      <c r="AF285" s="22"/>
      <c r="AG285" s="22"/>
      <c r="AH285" s="122"/>
      <c r="AI285" s="110" t="str">
        <f t="shared" si="16"/>
        <v/>
      </c>
      <c r="AJ285" s="110" t="str">
        <f t="shared" si="17"/>
        <v/>
      </c>
      <c r="AK285" s="110" t="str">
        <f t="shared" si="18"/>
        <v/>
      </c>
      <c r="AL285" s="110" t="str">
        <f t="shared" si="19"/>
        <v/>
      </c>
    </row>
    <row r="286" spans="6:38" x14ac:dyDescent="0.2">
      <c r="F286" s="1"/>
      <c r="N286" s="122"/>
      <c r="O286" s="22"/>
      <c r="P286" s="22"/>
      <c r="Q286" s="22"/>
      <c r="R286" s="22"/>
      <c r="S286" s="22"/>
      <c r="T286" s="122"/>
      <c r="U286" s="122"/>
      <c r="V286" s="22"/>
      <c r="W286" s="22"/>
      <c r="X286" s="22"/>
      <c r="Y286" s="22"/>
      <c r="Z286" s="22"/>
      <c r="AA286" s="122"/>
      <c r="AB286" s="122"/>
      <c r="AC286" s="22"/>
      <c r="AD286" s="22"/>
      <c r="AE286" s="22"/>
      <c r="AF286" s="22"/>
      <c r="AG286" s="22"/>
      <c r="AH286" s="122"/>
      <c r="AI286" s="110" t="str">
        <f t="shared" si="16"/>
        <v/>
      </c>
      <c r="AJ286" s="110" t="str">
        <f t="shared" si="17"/>
        <v/>
      </c>
      <c r="AK286" s="110" t="str">
        <f t="shared" si="18"/>
        <v/>
      </c>
      <c r="AL286" s="110" t="str">
        <f t="shared" si="19"/>
        <v/>
      </c>
    </row>
    <row r="287" spans="6:38" x14ac:dyDescent="0.2">
      <c r="F287" s="1"/>
      <c r="N287" s="122"/>
      <c r="O287" s="22"/>
      <c r="P287" s="22"/>
      <c r="Q287" s="22"/>
      <c r="R287" s="22"/>
      <c r="S287" s="22"/>
      <c r="T287" s="122"/>
      <c r="U287" s="122"/>
      <c r="V287" s="22"/>
      <c r="W287" s="22"/>
      <c r="X287" s="22"/>
      <c r="Y287" s="22"/>
      <c r="Z287" s="22"/>
      <c r="AA287" s="122"/>
      <c r="AB287" s="122"/>
      <c r="AC287" s="22"/>
      <c r="AD287" s="22"/>
      <c r="AE287" s="22"/>
      <c r="AF287" s="22"/>
      <c r="AG287" s="22"/>
      <c r="AH287" s="122"/>
      <c r="AI287" s="110" t="str">
        <f t="shared" si="16"/>
        <v/>
      </c>
      <c r="AJ287" s="110" t="str">
        <f t="shared" si="17"/>
        <v/>
      </c>
      <c r="AK287" s="110" t="str">
        <f t="shared" si="18"/>
        <v/>
      </c>
      <c r="AL287" s="110" t="str">
        <f t="shared" si="19"/>
        <v/>
      </c>
    </row>
    <row r="288" spans="6:38" x14ac:dyDescent="0.2">
      <c r="F288" s="1"/>
      <c r="N288" s="122"/>
      <c r="O288" s="22"/>
      <c r="P288" s="22"/>
      <c r="Q288" s="22"/>
      <c r="R288" s="22"/>
      <c r="S288" s="22"/>
      <c r="T288" s="122"/>
      <c r="U288" s="122"/>
      <c r="V288" s="22"/>
      <c r="W288" s="22"/>
      <c r="X288" s="22"/>
      <c r="Y288" s="22"/>
      <c r="Z288" s="22"/>
      <c r="AA288" s="122"/>
      <c r="AB288" s="122"/>
      <c r="AC288" s="22"/>
      <c r="AD288" s="22"/>
      <c r="AE288" s="22"/>
      <c r="AF288" s="22"/>
      <c r="AG288" s="22"/>
      <c r="AH288" s="122"/>
      <c r="AI288" s="110" t="str">
        <f t="shared" si="16"/>
        <v/>
      </c>
      <c r="AJ288" s="110" t="str">
        <f t="shared" si="17"/>
        <v/>
      </c>
      <c r="AK288" s="110" t="str">
        <f t="shared" si="18"/>
        <v/>
      </c>
      <c r="AL288" s="110" t="str">
        <f t="shared" si="19"/>
        <v/>
      </c>
    </row>
    <row r="289" spans="6:38" x14ac:dyDescent="0.2">
      <c r="F289" s="1"/>
      <c r="N289" s="122"/>
      <c r="O289" s="22"/>
      <c r="P289" s="22"/>
      <c r="Q289" s="22"/>
      <c r="R289" s="22"/>
      <c r="S289" s="22"/>
      <c r="T289" s="122"/>
      <c r="U289" s="122"/>
      <c r="V289" s="22"/>
      <c r="W289" s="22"/>
      <c r="X289" s="22"/>
      <c r="Y289" s="22"/>
      <c r="Z289" s="22"/>
      <c r="AA289" s="122"/>
      <c r="AB289" s="122"/>
      <c r="AC289" s="22"/>
      <c r="AD289" s="22"/>
      <c r="AE289" s="22"/>
      <c r="AF289" s="22"/>
      <c r="AG289" s="22"/>
      <c r="AH289" s="122"/>
      <c r="AI289" s="110" t="str">
        <f t="shared" si="16"/>
        <v/>
      </c>
      <c r="AJ289" s="110" t="str">
        <f t="shared" si="17"/>
        <v/>
      </c>
      <c r="AK289" s="110" t="str">
        <f t="shared" si="18"/>
        <v/>
      </c>
      <c r="AL289" s="110" t="str">
        <f t="shared" si="19"/>
        <v/>
      </c>
    </row>
    <row r="290" spans="6:38" x14ac:dyDescent="0.2">
      <c r="F290" s="1"/>
      <c r="N290" s="122"/>
      <c r="O290" s="22"/>
      <c r="P290" s="22"/>
      <c r="Q290" s="22"/>
      <c r="R290" s="22"/>
      <c r="S290" s="22"/>
      <c r="T290" s="122"/>
      <c r="U290" s="122"/>
      <c r="V290" s="22"/>
      <c r="W290" s="22"/>
      <c r="X290" s="22"/>
      <c r="Y290" s="22"/>
      <c r="Z290" s="22"/>
      <c r="AA290" s="122"/>
      <c r="AB290" s="122"/>
      <c r="AC290" s="22"/>
      <c r="AD290" s="22"/>
      <c r="AE290" s="22"/>
      <c r="AF290" s="22"/>
      <c r="AG290" s="22"/>
      <c r="AH290" s="122"/>
      <c r="AI290" s="110" t="str">
        <f t="shared" si="16"/>
        <v/>
      </c>
      <c r="AJ290" s="110" t="str">
        <f t="shared" si="17"/>
        <v/>
      </c>
      <c r="AK290" s="110" t="str">
        <f t="shared" si="18"/>
        <v/>
      </c>
      <c r="AL290" s="110" t="str">
        <f t="shared" si="19"/>
        <v/>
      </c>
    </row>
    <row r="291" spans="6:38" x14ac:dyDescent="0.2">
      <c r="F291" s="1"/>
      <c r="N291" s="122"/>
      <c r="O291" s="22"/>
      <c r="P291" s="22"/>
      <c r="Q291" s="22"/>
      <c r="R291" s="22"/>
      <c r="S291" s="22"/>
      <c r="T291" s="122"/>
      <c r="U291" s="122"/>
      <c r="V291" s="22"/>
      <c r="W291" s="22"/>
      <c r="X291" s="22"/>
      <c r="Y291" s="22"/>
      <c r="Z291" s="22"/>
      <c r="AA291" s="122"/>
      <c r="AB291" s="122"/>
      <c r="AC291" s="22"/>
      <c r="AD291" s="22"/>
      <c r="AE291" s="22"/>
      <c r="AF291" s="22"/>
      <c r="AG291" s="22"/>
      <c r="AH291" s="122"/>
      <c r="AI291" s="110" t="str">
        <f t="shared" si="16"/>
        <v/>
      </c>
      <c r="AJ291" s="110" t="str">
        <f t="shared" si="17"/>
        <v/>
      </c>
      <c r="AK291" s="110" t="str">
        <f t="shared" si="18"/>
        <v/>
      </c>
      <c r="AL291" s="110" t="str">
        <f t="shared" si="19"/>
        <v/>
      </c>
    </row>
    <row r="292" spans="6:38" x14ac:dyDescent="0.2">
      <c r="F292" s="1"/>
      <c r="N292" s="122"/>
      <c r="O292" s="22"/>
      <c r="P292" s="22"/>
      <c r="Q292" s="22"/>
      <c r="R292" s="22"/>
      <c r="S292" s="22"/>
      <c r="T292" s="122"/>
      <c r="U292" s="122"/>
      <c r="V292" s="22"/>
      <c r="W292" s="22"/>
      <c r="X292" s="22"/>
      <c r="Y292" s="22"/>
      <c r="Z292" s="22"/>
      <c r="AA292" s="122"/>
      <c r="AB292" s="122"/>
      <c r="AC292" s="22"/>
      <c r="AD292" s="22"/>
      <c r="AE292" s="22"/>
      <c r="AF292" s="22"/>
      <c r="AG292" s="22"/>
      <c r="AH292" s="122"/>
      <c r="AI292" s="110" t="str">
        <f t="shared" si="16"/>
        <v/>
      </c>
      <c r="AJ292" s="110" t="str">
        <f t="shared" si="17"/>
        <v/>
      </c>
      <c r="AK292" s="110" t="str">
        <f t="shared" si="18"/>
        <v/>
      </c>
      <c r="AL292" s="110" t="str">
        <f t="shared" si="19"/>
        <v/>
      </c>
    </row>
    <row r="293" spans="6:38" x14ac:dyDescent="0.2">
      <c r="F293" s="1"/>
      <c r="N293" s="122"/>
      <c r="O293" s="22"/>
      <c r="P293" s="22"/>
      <c r="Q293" s="22"/>
      <c r="R293" s="22"/>
      <c r="S293" s="22"/>
      <c r="T293" s="122"/>
      <c r="U293" s="122"/>
      <c r="V293" s="22"/>
      <c r="W293" s="22"/>
      <c r="X293" s="22"/>
      <c r="Y293" s="22"/>
      <c r="Z293" s="22"/>
      <c r="AA293" s="122"/>
      <c r="AB293" s="122"/>
      <c r="AC293" s="22"/>
      <c r="AD293" s="22"/>
      <c r="AE293" s="22"/>
      <c r="AF293" s="22"/>
      <c r="AG293" s="22"/>
      <c r="AH293" s="122"/>
      <c r="AI293" s="110" t="str">
        <f t="shared" si="16"/>
        <v/>
      </c>
      <c r="AJ293" s="110" t="str">
        <f t="shared" si="17"/>
        <v/>
      </c>
      <c r="AK293" s="110" t="str">
        <f t="shared" si="18"/>
        <v/>
      </c>
      <c r="AL293" s="110" t="str">
        <f t="shared" si="19"/>
        <v/>
      </c>
    </row>
    <row r="294" spans="6:38" x14ac:dyDescent="0.2">
      <c r="F294" s="1"/>
      <c r="N294" s="122"/>
      <c r="O294" s="22"/>
      <c r="P294" s="22"/>
      <c r="Q294" s="22"/>
      <c r="R294" s="22"/>
      <c r="S294" s="22"/>
      <c r="T294" s="122"/>
      <c r="U294" s="122"/>
      <c r="V294" s="22"/>
      <c r="W294" s="22"/>
      <c r="X294" s="22"/>
      <c r="Y294" s="22"/>
      <c r="Z294" s="22"/>
      <c r="AA294" s="122"/>
      <c r="AB294" s="122"/>
      <c r="AC294" s="22"/>
      <c r="AD294" s="22"/>
      <c r="AE294" s="22"/>
      <c r="AF294" s="22"/>
      <c r="AG294" s="22"/>
      <c r="AH294" s="122"/>
      <c r="AI294" s="110" t="str">
        <f t="shared" si="16"/>
        <v/>
      </c>
      <c r="AJ294" s="110" t="str">
        <f t="shared" si="17"/>
        <v/>
      </c>
      <c r="AK294" s="110" t="str">
        <f t="shared" si="18"/>
        <v/>
      </c>
      <c r="AL294" s="110" t="str">
        <f t="shared" si="19"/>
        <v/>
      </c>
    </row>
    <row r="295" spans="6:38" x14ac:dyDescent="0.2">
      <c r="F295" s="1"/>
      <c r="N295" s="122"/>
      <c r="O295" s="22"/>
      <c r="P295" s="22"/>
      <c r="Q295" s="22"/>
      <c r="R295" s="22"/>
      <c r="S295" s="22"/>
      <c r="T295" s="122"/>
      <c r="U295" s="122"/>
      <c r="V295" s="22"/>
      <c r="W295" s="22"/>
      <c r="X295" s="22"/>
      <c r="Y295" s="22"/>
      <c r="Z295" s="22"/>
      <c r="AA295" s="122"/>
      <c r="AB295" s="122"/>
      <c r="AC295" s="22"/>
      <c r="AD295" s="22"/>
      <c r="AE295" s="22"/>
      <c r="AF295" s="22"/>
      <c r="AG295" s="22"/>
      <c r="AH295" s="122"/>
      <c r="AI295" s="110" t="str">
        <f t="shared" si="16"/>
        <v/>
      </c>
      <c r="AJ295" s="110" t="str">
        <f t="shared" si="17"/>
        <v/>
      </c>
      <c r="AK295" s="110" t="str">
        <f t="shared" si="18"/>
        <v/>
      </c>
      <c r="AL295" s="110" t="str">
        <f t="shared" si="19"/>
        <v/>
      </c>
    </row>
    <row r="296" spans="6:38" x14ac:dyDescent="0.2">
      <c r="F296" s="1"/>
      <c r="N296" s="122"/>
      <c r="O296" s="22"/>
      <c r="P296" s="22"/>
      <c r="Q296" s="22"/>
      <c r="R296" s="22"/>
      <c r="S296" s="22"/>
      <c r="T296" s="122"/>
      <c r="U296" s="122"/>
      <c r="V296" s="22"/>
      <c r="W296" s="22"/>
      <c r="X296" s="22"/>
      <c r="Y296" s="22"/>
      <c r="Z296" s="22"/>
      <c r="AA296" s="122"/>
      <c r="AB296" s="122"/>
      <c r="AC296" s="22"/>
      <c r="AD296" s="22"/>
      <c r="AE296" s="22"/>
      <c r="AF296" s="22"/>
      <c r="AG296" s="22"/>
      <c r="AH296" s="122"/>
      <c r="AI296" s="110" t="str">
        <f t="shared" si="16"/>
        <v/>
      </c>
      <c r="AJ296" s="110" t="str">
        <f t="shared" si="17"/>
        <v/>
      </c>
      <c r="AK296" s="110" t="str">
        <f t="shared" si="18"/>
        <v/>
      </c>
      <c r="AL296" s="110" t="str">
        <f t="shared" si="19"/>
        <v/>
      </c>
    </row>
    <row r="297" spans="6:38" x14ac:dyDescent="0.2">
      <c r="F297" s="1"/>
      <c r="N297" s="122"/>
      <c r="O297" s="22"/>
      <c r="P297" s="22"/>
      <c r="Q297" s="22"/>
      <c r="R297" s="22"/>
      <c r="S297" s="22"/>
      <c r="T297" s="122"/>
      <c r="U297" s="122"/>
      <c r="V297" s="22"/>
      <c r="W297" s="22"/>
      <c r="X297" s="22"/>
      <c r="Y297" s="22"/>
      <c r="Z297" s="22"/>
      <c r="AA297" s="122"/>
      <c r="AB297" s="122"/>
      <c r="AC297" s="22"/>
      <c r="AD297" s="22"/>
      <c r="AE297" s="22"/>
      <c r="AF297" s="22"/>
      <c r="AG297" s="22"/>
      <c r="AH297" s="122"/>
      <c r="AI297" s="110" t="str">
        <f t="shared" si="16"/>
        <v/>
      </c>
      <c r="AJ297" s="110" t="str">
        <f t="shared" si="17"/>
        <v/>
      </c>
      <c r="AK297" s="110" t="str">
        <f t="shared" si="18"/>
        <v/>
      </c>
      <c r="AL297" s="110" t="str">
        <f t="shared" si="19"/>
        <v/>
      </c>
    </row>
    <row r="298" spans="6:38" x14ac:dyDescent="0.2">
      <c r="F298" s="1"/>
      <c r="N298" s="122"/>
      <c r="O298" s="22"/>
      <c r="P298" s="22"/>
      <c r="Q298" s="22"/>
      <c r="R298" s="22"/>
      <c r="S298" s="22"/>
      <c r="T298" s="122"/>
      <c r="U298" s="122"/>
      <c r="V298" s="22"/>
      <c r="W298" s="22"/>
      <c r="X298" s="22"/>
      <c r="Y298" s="22"/>
      <c r="Z298" s="22"/>
      <c r="AA298" s="122"/>
      <c r="AB298" s="122"/>
      <c r="AC298" s="22"/>
      <c r="AD298" s="22"/>
      <c r="AE298" s="22"/>
      <c r="AF298" s="22"/>
      <c r="AG298" s="22"/>
      <c r="AH298" s="122"/>
      <c r="AI298" s="110" t="str">
        <f t="shared" si="16"/>
        <v/>
      </c>
      <c r="AJ298" s="110" t="str">
        <f t="shared" si="17"/>
        <v/>
      </c>
      <c r="AK298" s="110" t="str">
        <f t="shared" si="18"/>
        <v/>
      </c>
      <c r="AL298" s="110" t="str">
        <f t="shared" si="19"/>
        <v/>
      </c>
    </row>
    <row r="299" spans="6:38" x14ac:dyDescent="0.2">
      <c r="F299" s="1"/>
      <c r="N299" s="122"/>
      <c r="O299" s="22"/>
      <c r="P299" s="22"/>
      <c r="Q299" s="22"/>
      <c r="R299" s="22"/>
      <c r="S299" s="22"/>
      <c r="T299" s="122"/>
      <c r="U299" s="122"/>
      <c r="V299" s="22"/>
      <c r="W299" s="22"/>
      <c r="X299" s="22"/>
      <c r="Y299" s="22"/>
      <c r="Z299" s="22"/>
      <c r="AA299" s="122"/>
      <c r="AB299" s="122"/>
      <c r="AC299" s="22"/>
      <c r="AD299" s="22"/>
      <c r="AE299" s="22"/>
      <c r="AF299" s="22"/>
      <c r="AG299" s="22"/>
      <c r="AH299" s="122"/>
      <c r="AI299" s="110" t="str">
        <f t="shared" si="16"/>
        <v/>
      </c>
      <c r="AJ299" s="110" t="str">
        <f t="shared" si="17"/>
        <v/>
      </c>
      <c r="AK299" s="110" t="str">
        <f t="shared" si="18"/>
        <v/>
      </c>
      <c r="AL299" s="110" t="str">
        <f t="shared" si="19"/>
        <v/>
      </c>
    </row>
    <row r="300" spans="6:38" x14ac:dyDescent="0.2">
      <c r="F300" s="1"/>
      <c r="N300" s="122"/>
      <c r="O300" s="22"/>
      <c r="P300" s="22"/>
      <c r="Q300" s="22"/>
      <c r="R300" s="22"/>
      <c r="S300" s="22"/>
      <c r="T300" s="122"/>
      <c r="U300" s="122"/>
      <c r="V300" s="22"/>
      <c r="W300" s="22"/>
      <c r="X300" s="22"/>
      <c r="Y300" s="22"/>
      <c r="Z300" s="22"/>
      <c r="AA300" s="122"/>
      <c r="AB300" s="122"/>
      <c r="AC300" s="22"/>
      <c r="AD300" s="22"/>
      <c r="AE300" s="22"/>
      <c r="AF300" s="22"/>
      <c r="AG300" s="22"/>
      <c r="AH300" s="122"/>
      <c r="AI300" s="110" t="str">
        <f t="shared" si="16"/>
        <v/>
      </c>
      <c r="AJ300" s="110" t="str">
        <f t="shared" si="17"/>
        <v/>
      </c>
      <c r="AK300" s="110" t="str">
        <f t="shared" si="18"/>
        <v/>
      </c>
      <c r="AL300" s="110" t="str">
        <f t="shared" si="19"/>
        <v/>
      </c>
    </row>
    <row r="301" spans="6:38" x14ac:dyDescent="0.2">
      <c r="F301" s="1"/>
      <c r="N301" s="115"/>
      <c r="O301" s="22"/>
      <c r="P301" s="22"/>
      <c r="Q301" s="22"/>
      <c r="R301" s="22"/>
      <c r="S301" s="22"/>
      <c r="T301" s="115"/>
      <c r="U301" s="115"/>
      <c r="V301" s="22"/>
      <c r="W301" s="22"/>
      <c r="X301" s="22"/>
      <c r="Y301" s="22"/>
      <c r="Z301" s="22"/>
      <c r="AA301" s="115"/>
      <c r="AB301" s="115"/>
      <c r="AC301" s="22"/>
      <c r="AD301" s="22"/>
      <c r="AE301" s="22"/>
      <c r="AF301" s="22"/>
      <c r="AG301" s="22"/>
      <c r="AH301" s="115"/>
      <c r="AI301" s="110" t="str">
        <f t="shared" si="16"/>
        <v/>
      </c>
      <c r="AJ301" s="110" t="str">
        <f t="shared" si="17"/>
        <v/>
      </c>
      <c r="AK301" s="110" t="str">
        <f t="shared" si="18"/>
        <v/>
      </c>
      <c r="AL301" s="110" t="str">
        <f t="shared" si="19"/>
        <v/>
      </c>
    </row>
    <row r="302" spans="6:38" x14ac:dyDescent="0.2">
      <c r="F302" s="1"/>
      <c r="N302" s="115"/>
      <c r="O302" s="22"/>
      <c r="P302" s="22"/>
      <c r="Q302" s="22"/>
      <c r="R302" s="22"/>
      <c r="S302" s="22"/>
      <c r="T302" s="115"/>
      <c r="U302" s="115"/>
      <c r="V302" s="22"/>
      <c r="W302" s="22"/>
      <c r="X302" s="22"/>
      <c r="Y302" s="22"/>
      <c r="Z302" s="22"/>
      <c r="AA302" s="115"/>
      <c r="AB302" s="115"/>
      <c r="AC302" s="22"/>
      <c r="AD302" s="22"/>
      <c r="AE302" s="22"/>
      <c r="AF302" s="22"/>
      <c r="AG302" s="22"/>
      <c r="AH302" s="115"/>
      <c r="AI302" s="110" t="str">
        <f t="shared" si="16"/>
        <v/>
      </c>
      <c r="AJ302" s="110" t="str">
        <f t="shared" si="17"/>
        <v/>
      </c>
      <c r="AK302" s="110" t="str">
        <f t="shared" si="18"/>
        <v/>
      </c>
      <c r="AL302" s="110" t="str">
        <f t="shared" si="19"/>
        <v/>
      </c>
    </row>
    <row r="303" spans="6:38" x14ac:dyDescent="0.2">
      <c r="F303" s="1"/>
      <c r="N303" s="115"/>
      <c r="O303" s="22"/>
      <c r="P303" s="22"/>
      <c r="Q303" s="22"/>
      <c r="R303" s="22"/>
      <c r="S303" s="22"/>
      <c r="T303" s="115"/>
      <c r="U303" s="115"/>
      <c r="V303" s="22"/>
      <c r="W303" s="22"/>
      <c r="X303" s="22"/>
      <c r="Y303" s="22"/>
      <c r="Z303" s="22"/>
      <c r="AA303" s="115"/>
      <c r="AB303" s="115"/>
      <c r="AC303" s="22"/>
      <c r="AD303" s="22"/>
      <c r="AE303" s="22"/>
      <c r="AF303" s="22"/>
      <c r="AG303" s="22"/>
      <c r="AH303" s="115"/>
      <c r="AI303" s="110" t="str">
        <f t="shared" si="16"/>
        <v/>
      </c>
      <c r="AJ303" s="110" t="str">
        <f t="shared" si="17"/>
        <v/>
      </c>
      <c r="AK303" s="110" t="str">
        <f t="shared" si="18"/>
        <v/>
      </c>
      <c r="AL303" s="110" t="str">
        <f t="shared" si="19"/>
        <v/>
      </c>
    </row>
    <row r="304" spans="6:38" x14ac:dyDescent="0.2">
      <c r="F304" s="1"/>
      <c r="N304" s="115"/>
      <c r="O304" s="22"/>
      <c r="P304" s="22"/>
      <c r="Q304" s="22"/>
      <c r="R304" s="22"/>
      <c r="S304" s="22"/>
      <c r="T304" s="115"/>
      <c r="U304" s="115"/>
      <c r="V304" s="22"/>
      <c r="W304" s="22"/>
      <c r="X304" s="22"/>
      <c r="Y304" s="22"/>
      <c r="Z304" s="22"/>
      <c r="AA304" s="115"/>
      <c r="AB304" s="115"/>
      <c r="AC304" s="22"/>
      <c r="AD304" s="22"/>
      <c r="AE304" s="22"/>
      <c r="AF304" s="22"/>
      <c r="AG304" s="22"/>
      <c r="AH304" s="115"/>
      <c r="AI304" s="110" t="str">
        <f t="shared" si="16"/>
        <v/>
      </c>
      <c r="AJ304" s="110" t="str">
        <f t="shared" si="17"/>
        <v/>
      </c>
      <c r="AK304" s="110" t="str">
        <f t="shared" si="18"/>
        <v/>
      </c>
      <c r="AL304" s="110" t="str">
        <f t="shared" si="19"/>
        <v/>
      </c>
    </row>
    <row r="305" spans="6:38" x14ac:dyDescent="0.2">
      <c r="F305" s="1"/>
      <c r="N305" s="115"/>
      <c r="O305" s="22"/>
      <c r="P305" s="22"/>
      <c r="Q305" s="22"/>
      <c r="R305" s="22"/>
      <c r="S305" s="22"/>
      <c r="T305" s="115"/>
      <c r="U305" s="115"/>
      <c r="V305" s="22"/>
      <c r="W305" s="22"/>
      <c r="X305" s="22"/>
      <c r="Y305" s="22"/>
      <c r="Z305" s="22"/>
      <c r="AA305" s="115"/>
      <c r="AB305" s="115"/>
      <c r="AC305" s="22"/>
      <c r="AD305" s="22"/>
      <c r="AE305" s="22"/>
      <c r="AF305" s="22"/>
      <c r="AG305" s="22"/>
      <c r="AH305" s="115"/>
      <c r="AI305" s="110" t="str">
        <f t="shared" si="16"/>
        <v/>
      </c>
      <c r="AJ305" s="110" t="str">
        <f t="shared" si="17"/>
        <v/>
      </c>
      <c r="AK305" s="110" t="str">
        <f t="shared" si="18"/>
        <v/>
      </c>
      <c r="AL305" s="110" t="str">
        <f t="shared" si="19"/>
        <v/>
      </c>
    </row>
    <row r="306" spans="6:38" x14ac:dyDescent="0.2">
      <c r="F306" s="1"/>
      <c r="N306" s="115"/>
      <c r="O306" s="22"/>
      <c r="P306" s="22"/>
      <c r="Q306" s="22"/>
      <c r="R306" s="22"/>
      <c r="S306" s="22"/>
      <c r="T306" s="115"/>
      <c r="U306" s="115"/>
      <c r="V306" s="22"/>
      <c r="W306" s="22"/>
      <c r="X306" s="22"/>
      <c r="Y306" s="22"/>
      <c r="Z306" s="22"/>
      <c r="AA306" s="115"/>
      <c r="AB306" s="115"/>
      <c r="AC306" s="22"/>
      <c r="AD306" s="22"/>
      <c r="AE306" s="22"/>
      <c r="AF306" s="22"/>
      <c r="AG306" s="22"/>
      <c r="AH306" s="115"/>
      <c r="AI306" s="110" t="str">
        <f t="shared" si="16"/>
        <v/>
      </c>
      <c r="AJ306" s="110" t="str">
        <f t="shared" si="17"/>
        <v/>
      </c>
      <c r="AK306" s="110" t="str">
        <f t="shared" si="18"/>
        <v/>
      </c>
      <c r="AL306" s="110" t="str">
        <f t="shared" si="19"/>
        <v/>
      </c>
    </row>
    <row r="307" spans="6:38" x14ac:dyDescent="0.2">
      <c r="F307" s="1"/>
      <c r="N307" s="115"/>
      <c r="O307" s="22"/>
      <c r="P307" s="22"/>
      <c r="Q307" s="22"/>
      <c r="R307" s="22"/>
      <c r="S307" s="22"/>
      <c r="T307" s="115"/>
      <c r="U307" s="115"/>
      <c r="V307" s="22"/>
      <c r="W307" s="22"/>
      <c r="X307" s="22"/>
      <c r="Y307" s="22"/>
      <c r="Z307" s="22"/>
      <c r="AA307" s="115"/>
      <c r="AB307" s="115"/>
      <c r="AC307" s="22"/>
      <c r="AD307" s="22"/>
      <c r="AE307" s="22"/>
      <c r="AF307" s="22"/>
      <c r="AG307" s="22"/>
      <c r="AH307" s="115"/>
      <c r="AI307" s="110" t="str">
        <f t="shared" si="16"/>
        <v/>
      </c>
      <c r="AJ307" s="110" t="str">
        <f t="shared" si="17"/>
        <v/>
      </c>
      <c r="AK307" s="110" t="str">
        <f t="shared" si="18"/>
        <v/>
      </c>
      <c r="AL307" s="110" t="str">
        <f t="shared" si="19"/>
        <v/>
      </c>
    </row>
    <row r="308" spans="6:38" x14ac:dyDescent="0.2">
      <c r="F308" s="1"/>
      <c r="N308" s="115"/>
      <c r="O308" s="22"/>
      <c r="P308" s="22"/>
      <c r="Q308" s="22"/>
      <c r="R308" s="22"/>
      <c r="S308" s="22"/>
      <c r="T308" s="115"/>
      <c r="U308" s="115"/>
      <c r="V308" s="22"/>
      <c r="W308" s="22"/>
      <c r="X308" s="22"/>
      <c r="Y308" s="22"/>
      <c r="Z308" s="22"/>
      <c r="AA308" s="115"/>
      <c r="AB308" s="115"/>
      <c r="AC308" s="22"/>
      <c r="AD308" s="22"/>
      <c r="AE308" s="22"/>
      <c r="AF308" s="22"/>
      <c r="AG308" s="22"/>
      <c r="AH308" s="115"/>
      <c r="AI308" s="110" t="str">
        <f t="shared" si="16"/>
        <v/>
      </c>
      <c r="AJ308" s="110" t="str">
        <f t="shared" si="17"/>
        <v/>
      </c>
      <c r="AK308" s="110" t="str">
        <f t="shared" si="18"/>
        <v/>
      </c>
      <c r="AL308" s="110" t="str">
        <f t="shared" si="19"/>
        <v/>
      </c>
    </row>
    <row r="309" spans="6:38" x14ac:dyDescent="0.2">
      <c r="F309" s="1"/>
      <c r="N309" s="115"/>
      <c r="O309" s="22"/>
      <c r="P309" s="22"/>
      <c r="Q309" s="22"/>
      <c r="R309" s="22"/>
      <c r="S309" s="22"/>
      <c r="T309" s="115"/>
      <c r="U309" s="115"/>
      <c r="V309" s="22"/>
      <c r="W309" s="22"/>
      <c r="X309" s="22"/>
      <c r="Y309" s="22"/>
      <c r="Z309" s="22"/>
      <c r="AA309" s="115"/>
      <c r="AB309" s="115"/>
      <c r="AC309" s="22"/>
      <c r="AD309" s="22"/>
      <c r="AE309" s="22"/>
      <c r="AF309" s="22"/>
      <c r="AG309" s="22"/>
      <c r="AH309" s="115"/>
    </row>
    <row r="310" spans="6:38" x14ac:dyDescent="0.2">
      <c r="F310" s="1"/>
      <c r="N310" s="115"/>
      <c r="O310" s="22"/>
      <c r="P310" s="22"/>
      <c r="Q310" s="22"/>
      <c r="R310" s="22"/>
      <c r="S310" s="22"/>
      <c r="T310" s="115"/>
      <c r="U310" s="115"/>
      <c r="V310" s="22"/>
      <c r="W310" s="22"/>
      <c r="X310" s="22"/>
      <c r="Y310" s="22"/>
      <c r="Z310" s="22"/>
      <c r="AA310" s="115"/>
      <c r="AB310" s="115"/>
      <c r="AC310" s="22"/>
      <c r="AD310" s="22"/>
      <c r="AE310" s="22"/>
      <c r="AF310" s="22"/>
      <c r="AG310" s="22"/>
      <c r="AH310" s="115"/>
    </row>
    <row r="311" spans="6:38" x14ac:dyDescent="0.2">
      <c r="F311" s="1"/>
      <c r="N311" s="115"/>
      <c r="O311" s="22"/>
      <c r="P311" s="22"/>
      <c r="Q311" s="22"/>
      <c r="R311" s="22"/>
      <c r="S311" s="22"/>
      <c r="T311" s="115"/>
      <c r="U311" s="115"/>
      <c r="V311" s="22"/>
      <c r="W311" s="22"/>
      <c r="X311" s="22"/>
      <c r="Y311" s="22"/>
      <c r="Z311" s="22"/>
      <c r="AA311" s="115"/>
      <c r="AB311" s="115"/>
      <c r="AC311" s="22"/>
      <c r="AD311" s="22"/>
      <c r="AE311" s="22"/>
      <c r="AF311" s="22"/>
      <c r="AG311" s="22"/>
      <c r="AH311" s="115"/>
    </row>
    <row r="312" spans="6:38" x14ac:dyDescent="0.2">
      <c r="F312" s="1"/>
      <c r="N312" s="115"/>
      <c r="O312" s="22"/>
      <c r="P312" s="22"/>
      <c r="Q312" s="22"/>
      <c r="R312" s="22"/>
      <c r="S312" s="22"/>
      <c r="T312" s="115"/>
      <c r="U312" s="115"/>
      <c r="V312" s="22"/>
      <c r="W312" s="22"/>
      <c r="X312" s="22"/>
      <c r="Y312" s="22"/>
      <c r="Z312" s="22"/>
      <c r="AA312" s="115"/>
      <c r="AB312" s="115"/>
      <c r="AC312" s="22"/>
      <c r="AD312" s="22"/>
      <c r="AE312" s="22"/>
      <c r="AF312" s="22"/>
      <c r="AG312" s="22"/>
      <c r="AH312" s="115"/>
    </row>
    <row r="313" spans="6:38" x14ac:dyDescent="0.2">
      <c r="F313" s="1"/>
      <c r="N313" s="115"/>
      <c r="O313" s="22"/>
      <c r="P313" s="22"/>
      <c r="Q313" s="22"/>
      <c r="R313" s="22"/>
      <c r="S313" s="22"/>
      <c r="T313" s="115"/>
      <c r="U313" s="115"/>
      <c r="V313" s="22"/>
      <c r="W313" s="22"/>
      <c r="X313" s="22"/>
      <c r="Y313" s="22"/>
      <c r="Z313" s="22"/>
      <c r="AA313" s="115"/>
      <c r="AB313" s="115"/>
      <c r="AC313" s="22"/>
      <c r="AD313" s="22"/>
      <c r="AE313" s="22"/>
      <c r="AF313" s="22"/>
      <c r="AG313" s="22"/>
      <c r="AH313" s="115"/>
    </row>
    <row r="314" spans="6:38" x14ac:dyDescent="0.2">
      <c r="F314" s="1"/>
      <c r="N314" s="115"/>
      <c r="O314" s="22"/>
      <c r="P314" s="22"/>
      <c r="Q314" s="22"/>
      <c r="R314" s="22"/>
      <c r="S314" s="22"/>
      <c r="T314" s="115"/>
      <c r="U314" s="115"/>
      <c r="V314" s="22"/>
      <c r="W314" s="22"/>
      <c r="X314" s="22"/>
      <c r="Y314" s="22"/>
      <c r="Z314" s="22"/>
      <c r="AA314" s="115"/>
      <c r="AB314" s="115"/>
      <c r="AC314" s="22"/>
      <c r="AD314" s="22"/>
      <c r="AE314" s="22"/>
      <c r="AF314" s="22"/>
      <c r="AG314" s="22"/>
      <c r="AH314" s="115"/>
    </row>
    <row r="315" spans="6:38" x14ac:dyDescent="0.2">
      <c r="F315" s="1"/>
      <c r="N315" s="115"/>
      <c r="O315" s="22"/>
      <c r="P315" s="22"/>
      <c r="Q315" s="22"/>
      <c r="R315" s="22"/>
      <c r="S315" s="22"/>
      <c r="T315" s="115"/>
      <c r="U315" s="115"/>
      <c r="V315" s="22"/>
      <c r="W315" s="22"/>
      <c r="X315" s="22"/>
      <c r="Y315" s="22"/>
      <c r="Z315" s="22"/>
      <c r="AA315" s="115"/>
      <c r="AB315" s="115"/>
      <c r="AC315" s="22"/>
      <c r="AD315" s="22"/>
      <c r="AE315" s="22"/>
      <c r="AF315" s="22"/>
      <c r="AG315" s="22"/>
      <c r="AH315" s="115"/>
    </row>
    <row r="316" spans="6:38" x14ac:dyDescent="0.2">
      <c r="F316" s="1"/>
      <c r="N316" s="115"/>
      <c r="O316" s="22"/>
      <c r="P316" s="22"/>
      <c r="Q316" s="22"/>
      <c r="R316" s="22"/>
      <c r="S316" s="22"/>
      <c r="T316" s="115"/>
      <c r="U316" s="115"/>
      <c r="V316" s="22"/>
      <c r="W316" s="22"/>
      <c r="X316" s="22"/>
      <c r="Y316" s="22"/>
      <c r="Z316" s="22"/>
      <c r="AA316" s="115"/>
      <c r="AB316" s="115"/>
      <c r="AC316" s="22"/>
      <c r="AD316" s="22"/>
      <c r="AE316" s="22"/>
      <c r="AF316" s="22"/>
      <c r="AG316" s="22"/>
      <c r="AH316" s="115"/>
    </row>
    <row r="317" spans="6:38" x14ac:dyDescent="0.2">
      <c r="F317" s="1"/>
      <c r="N317" s="115"/>
      <c r="O317" s="22"/>
      <c r="P317" s="22"/>
      <c r="Q317" s="22"/>
      <c r="R317" s="22"/>
      <c r="S317" s="22"/>
      <c r="T317" s="115"/>
      <c r="U317" s="115"/>
      <c r="V317" s="22"/>
      <c r="W317" s="22"/>
      <c r="X317" s="22"/>
      <c r="Y317" s="22"/>
      <c r="Z317" s="22"/>
      <c r="AA317" s="115"/>
      <c r="AB317" s="115"/>
      <c r="AC317" s="22"/>
      <c r="AD317" s="22"/>
      <c r="AE317" s="22"/>
      <c r="AF317" s="22"/>
      <c r="AG317" s="22"/>
      <c r="AH317" s="115"/>
    </row>
    <row r="318" spans="6:38" x14ac:dyDescent="0.2">
      <c r="F318" s="1"/>
      <c r="N318" s="115"/>
      <c r="O318" s="22"/>
      <c r="P318" s="22"/>
      <c r="Q318" s="22"/>
      <c r="R318" s="22"/>
      <c r="S318" s="22"/>
      <c r="T318" s="115"/>
      <c r="U318" s="115"/>
      <c r="V318" s="22"/>
      <c r="W318" s="22"/>
      <c r="X318" s="22"/>
      <c r="Y318" s="22"/>
      <c r="Z318" s="22"/>
      <c r="AA318" s="115"/>
      <c r="AB318" s="115"/>
      <c r="AC318" s="22"/>
      <c r="AD318" s="22"/>
      <c r="AE318" s="22"/>
      <c r="AF318" s="22"/>
      <c r="AG318" s="22"/>
      <c r="AH318" s="115"/>
    </row>
    <row r="319" spans="6:38" x14ac:dyDescent="0.2">
      <c r="F319" s="1"/>
      <c r="N319" s="115"/>
      <c r="O319" s="22"/>
      <c r="P319" s="22"/>
      <c r="Q319" s="22"/>
      <c r="R319" s="22"/>
      <c r="S319" s="22"/>
      <c r="T319" s="115"/>
      <c r="U319" s="115"/>
      <c r="V319" s="22"/>
      <c r="W319" s="22"/>
      <c r="X319" s="22"/>
      <c r="Y319" s="22"/>
      <c r="Z319" s="22"/>
      <c r="AA319" s="115"/>
      <c r="AB319" s="115"/>
      <c r="AC319" s="22"/>
      <c r="AD319" s="22"/>
      <c r="AE319" s="22"/>
      <c r="AF319" s="22"/>
      <c r="AG319" s="22"/>
      <c r="AH319" s="115"/>
    </row>
    <row r="320" spans="6:38" x14ac:dyDescent="0.2">
      <c r="F320" s="1"/>
      <c r="N320" s="115"/>
      <c r="O320" s="22"/>
      <c r="P320" s="22"/>
      <c r="Q320" s="22"/>
      <c r="R320" s="22"/>
      <c r="S320" s="22"/>
      <c r="T320" s="115"/>
      <c r="U320" s="115"/>
      <c r="V320" s="22"/>
      <c r="W320" s="22"/>
      <c r="X320" s="22"/>
      <c r="Y320" s="22"/>
      <c r="Z320" s="22"/>
      <c r="AA320" s="115"/>
      <c r="AB320" s="115"/>
      <c r="AC320" s="22"/>
      <c r="AD320" s="22"/>
      <c r="AE320" s="22"/>
      <c r="AF320" s="22"/>
      <c r="AG320" s="22"/>
      <c r="AH320" s="115"/>
    </row>
    <row r="321" spans="6:34" x14ac:dyDescent="0.2">
      <c r="F321" s="1"/>
      <c r="N321" s="115"/>
      <c r="O321" s="22"/>
      <c r="P321" s="22"/>
      <c r="Q321" s="22"/>
      <c r="R321" s="22"/>
      <c r="S321" s="22"/>
      <c r="T321" s="115"/>
      <c r="U321" s="115"/>
      <c r="V321" s="22"/>
      <c r="W321" s="22"/>
      <c r="X321" s="22"/>
      <c r="Y321" s="22"/>
      <c r="Z321" s="22"/>
      <c r="AA321" s="115"/>
      <c r="AB321" s="115"/>
      <c r="AC321" s="22"/>
      <c r="AD321" s="22"/>
      <c r="AE321" s="22"/>
      <c r="AF321" s="22"/>
      <c r="AG321" s="22"/>
      <c r="AH321" s="115"/>
    </row>
    <row r="322" spans="6:34" x14ac:dyDescent="0.2">
      <c r="F322" s="1"/>
      <c r="N322" s="115"/>
      <c r="O322" s="22"/>
      <c r="P322" s="22"/>
      <c r="Q322" s="22"/>
      <c r="R322" s="22"/>
      <c r="S322" s="22"/>
      <c r="T322" s="115"/>
      <c r="U322" s="115"/>
      <c r="V322" s="22"/>
      <c r="W322" s="22"/>
      <c r="X322" s="22"/>
      <c r="Y322" s="22"/>
      <c r="Z322" s="22"/>
      <c r="AA322" s="115"/>
      <c r="AB322" s="115"/>
      <c r="AC322" s="22"/>
      <c r="AD322" s="22"/>
      <c r="AE322" s="22"/>
      <c r="AF322" s="22"/>
      <c r="AG322" s="22"/>
      <c r="AH322" s="115"/>
    </row>
    <row r="323" spans="6:34" x14ac:dyDescent="0.2">
      <c r="F323" s="1"/>
      <c r="N323" s="115"/>
      <c r="O323" s="22"/>
      <c r="P323" s="22"/>
      <c r="Q323" s="22"/>
      <c r="R323" s="22"/>
      <c r="S323" s="22"/>
      <c r="T323" s="115"/>
      <c r="U323" s="115"/>
      <c r="V323" s="22"/>
      <c r="W323" s="22"/>
      <c r="X323" s="22"/>
      <c r="Y323" s="22"/>
      <c r="Z323" s="22"/>
      <c r="AA323" s="115"/>
      <c r="AB323" s="115"/>
      <c r="AC323" s="22"/>
      <c r="AD323" s="22"/>
      <c r="AE323" s="22"/>
      <c r="AF323" s="22"/>
      <c r="AG323" s="22"/>
      <c r="AH323" s="115"/>
    </row>
    <row r="324" spans="6:34" x14ac:dyDescent="0.2">
      <c r="F324" s="1"/>
      <c r="N324" s="115"/>
      <c r="O324" s="22"/>
      <c r="P324" s="22"/>
      <c r="Q324" s="22"/>
      <c r="R324" s="22"/>
      <c r="S324" s="22"/>
      <c r="T324" s="115"/>
      <c r="U324" s="115"/>
      <c r="V324" s="22"/>
      <c r="W324" s="22"/>
      <c r="X324" s="22"/>
      <c r="Y324" s="22"/>
      <c r="Z324" s="22"/>
      <c r="AA324" s="115"/>
      <c r="AB324" s="115"/>
      <c r="AC324" s="22"/>
      <c r="AD324" s="22"/>
      <c r="AE324" s="22"/>
      <c r="AF324" s="22"/>
      <c r="AG324" s="22"/>
      <c r="AH324" s="115"/>
    </row>
    <row r="325" spans="6:34" x14ac:dyDescent="0.2">
      <c r="F325" s="1"/>
      <c r="N325" s="115"/>
      <c r="O325" s="22"/>
      <c r="P325" s="22"/>
      <c r="Q325" s="22"/>
      <c r="R325" s="22"/>
      <c r="S325" s="22"/>
      <c r="T325" s="115"/>
      <c r="U325" s="115"/>
      <c r="V325" s="22"/>
      <c r="W325" s="22"/>
      <c r="X325" s="22"/>
      <c r="Y325" s="22"/>
      <c r="Z325" s="22"/>
      <c r="AA325" s="115"/>
      <c r="AB325" s="115"/>
      <c r="AC325" s="22"/>
      <c r="AD325" s="22"/>
      <c r="AE325" s="22"/>
      <c r="AF325" s="22"/>
      <c r="AG325" s="22"/>
      <c r="AH325" s="115"/>
    </row>
    <row r="326" spans="6:34" x14ac:dyDescent="0.2">
      <c r="F326" s="1"/>
      <c r="N326" s="115"/>
      <c r="O326" s="22"/>
      <c r="P326" s="22"/>
      <c r="Q326" s="22"/>
      <c r="R326" s="22"/>
      <c r="S326" s="22"/>
      <c r="T326" s="115"/>
      <c r="U326" s="115"/>
      <c r="V326" s="22"/>
      <c r="W326" s="22"/>
      <c r="X326" s="22"/>
      <c r="Y326" s="22"/>
      <c r="Z326" s="22"/>
      <c r="AA326" s="115"/>
      <c r="AB326" s="115"/>
      <c r="AC326" s="22"/>
      <c r="AD326" s="22"/>
      <c r="AE326" s="22"/>
      <c r="AF326" s="22"/>
      <c r="AG326" s="22"/>
      <c r="AH326" s="115"/>
    </row>
    <row r="327" spans="6:34" x14ac:dyDescent="0.2">
      <c r="F327" s="1"/>
      <c r="N327" s="115"/>
      <c r="O327" s="22"/>
      <c r="P327" s="22"/>
      <c r="Q327" s="22"/>
      <c r="R327" s="22"/>
      <c r="S327" s="22"/>
      <c r="T327" s="115"/>
      <c r="U327" s="115"/>
      <c r="V327" s="22"/>
      <c r="W327" s="22"/>
      <c r="X327" s="22"/>
      <c r="Y327" s="22"/>
      <c r="Z327" s="22"/>
      <c r="AA327" s="115"/>
      <c r="AB327" s="115"/>
      <c r="AC327" s="22"/>
      <c r="AD327" s="22"/>
      <c r="AE327" s="22"/>
      <c r="AF327" s="22"/>
      <c r="AG327" s="22"/>
      <c r="AH327" s="115"/>
    </row>
    <row r="328" spans="6:34" x14ac:dyDescent="0.2">
      <c r="F328" s="1"/>
      <c r="N328" s="115"/>
      <c r="O328" s="22"/>
      <c r="P328" s="22"/>
      <c r="Q328" s="22"/>
      <c r="R328" s="22"/>
      <c r="S328" s="22"/>
      <c r="T328" s="115"/>
      <c r="U328" s="115"/>
      <c r="V328" s="22"/>
      <c r="W328" s="22"/>
      <c r="X328" s="22"/>
      <c r="Y328" s="22"/>
      <c r="Z328" s="22"/>
      <c r="AA328" s="115"/>
      <c r="AB328" s="115"/>
      <c r="AC328" s="22"/>
      <c r="AD328" s="22"/>
      <c r="AE328" s="22"/>
      <c r="AF328" s="22"/>
      <c r="AG328" s="22"/>
      <c r="AH328" s="115"/>
    </row>
    <row r="329" spans="6:34" x14ac:dyDescent="0.2">
      <c r="F329" s="1"/>
      <c r="N329" s="115"/>
      <c r="O329" s="22"/>
      <c r="P329" s="22"/>
      <c r="Q329" s="22"/>
      <c r="R329" s="22"/>
      <c r="S329" s="22"/>
      <c r="T329" s="115"/>
      <c r="U329" s="115"/>
      <c r="V329" s="22"/>
      <c r="W329" s="22"/>
      <c r="X329" s="22"/>
      <c r="Y329" s="22"/>
      <c r="Z329" s="22"/>
      <c r="AA329" s="115"/>
      <c r="AB329" s="115"/>
      <c r="AC329" s="22"/>
      <c r="AD329" s="22"/>
      <c r="AE329" s="22"/>
      <c r="AF329" s="22"/>
      <c r="AG329" s="22"/>
      <c r="AH329" s="115"/>
    </row>
    <row r="330" spans="6:34" x14ac:dyDescent="0.2">
      <c r="F330" s="1"/>
      <c r="N330" s="115"/>
      <c r="O330" s="22"/>
      <c r="P330" s="22"/>
      <c r="Q330" s="22"/>
      <c r="R330" s="22"/>
      <c r="S330" s="22"/>
      <c r="T330" s="115"/>
      <c r="U330" s="115"/>
      <c r="V330" s="22"/>
      <c r="W330" s="22"/>
      <c r="X330" s="22"/>
      <c r="Y330" s="22"/>
      <c r="Z330" s="22"/>
      <c r="AA330" s="115"/>
      <c r="AB330" s="115"/>
      <c r="AC330" s="22"/>
      <c r="AD330" s="22"/>
      <c r="AE330" s="22"/>
      <c r="AF330" s="22"/>
      <c r="AG330" s="22"/>
      <c r="AH330" s="115"/>
    </row>
    <row r="331" spans="6:34" x14ac:dyDescent="0.2">
      <c r="F331" s="1"/>
      <c r="N331" s="115"/>
      <c r="O331" s="22"/>
      <c r="P331" s="22"/>
      <c r="Q331" s="22"/>
      <c r="R331" s="22"/>
      <c r="S331" s="22"/>
      <c r="T331" s="115"/>
      <c r="U331" s="115"/>
      <c r="V331" s="22"/>
      <c r="W331" s="22"/>
      <c r="X331" s="22"/>
      <c r="Y331" s="22"/>
      <c r="Z331" s="22"/>
      <c r="AA331" s="115"/>
      <c r="AB331" s="115"/>
      <c r="AC331" s="22"/>
      <c r="AD331" s="22"/>
      <c r="AE331" s="22"/>
      <c r="AF331" s="22"/>
      <c r="AG331" s="22"/>
      <c r="AH331" s="115"/>
    </row>
    <row r="332" spans="6:34" x14ac:dyDescent="0.2">
      <c r="F332" s="1"/>
      <c r="N332" s="115"/>
      <c r="O332" s="22"/>
      <c r="P332" s="22"/>
      <c r="Q332" s="22"/>
      <c r="R332" s="22"/>
      <c r="S332" s="22"/>
      <c r="T332" s="115"/>
      <c r="U332" s="115"/>
      <c r="V332" s="22"/>
      <c r="W332" s="22"/>
      <c r="X332" s="22"/>
      <c r="Y332" s="22"/>
      <c r="Z332" s="22"/>
      <c r="AA332" s="115"/>
      <c r="AB332" s="115"/>
      <c r="AC332" s="22"/>
      <c r="AD332" s="22"/>
      <c r="AE332" s="22"/>
      <c r="AF332" s="22"/>
      <c r="AG332" s="22"/>
      <c r="AH332" s="115"/>
    </row>
    <row r="333" spans="6:34" x14ac:dyDescent="0.2">
      <c r="F333" s="1"/>
      <c r="N333" s="115"/>
      <c r="O333" s="22"/>
      <c r="P333" s="22"/>
      <c r="Q333" s="22"/>
      <c r="R333" s="22"/>
      <c r="S333" s="22"/>
      <c r="T333" s="115"/>
      <c r="U333" s="115"/>
      <c r="V333" s="22"/>
      <c r="W333" s="22"/>
      <c r="X333" s="22"/>
      <c r="Y333" s="22"/>
      <c r="Z333" s="22"/>
      <c r="AA333" s="115"/>
      <c r="AB333" s="115"/>
      <c r="AC333" s="22"/>
      <c r="AD333" s="22"/>
      <c r="AE333" s="22"/>
      <c r="AF333" s="22"/>
      <c r="AG333" s="22"/>
      <c r="AH333" s="115"/>
    </row>
    <row r="334" spans="6:34" x14ac:dyDescent="0.2">
      <c r="F334" s="1"/>
      <c r="N334" s="115"/>
      <c r="O334" s="22"/>
      <c r="P334" s="22"/>
      <c r="Q334" s="22"/>
      <c r="R334" s="22"/>
      <c r="S334" s="22"/>
      <c r="T334" s="115"/>
      <c r="U334" s="115"/>
      <c r="V334" s="22"/>
      <c r="W334" s="22"/>
      <c r="X334" s="22"/>
      <c r="Y334" s="22"/>
      <c r="Z334" s="22"/>
      <c r="AA334" s="115"/>
      <c r="AB334" s="115"/>
      <c r="AC334" s="22"/>
      <c r="AD334" s="22"/>
      <c r="AE334" s="22"/>
      <c r="AF334" s="22"/>
      <c r="AG334" s="22"/>
      <c r="AH334" s="115"/>
    </row>
    <row r="335" spans="6:34" x14ac:dyDescent="0.2">
      <c r="F335" s="1"/>
      <c r="N335" s="115"/>
      <c r="O335" s="22"/>
      <c r="P335" s="22"/>
      <c r="Q335" s="22"/>
      <c r="R335" s="22"/>
      <c r="S335" s="22"/>
      <c r="T335" s="115"/>
      <c r="U335" s="115"/>
      <c r="V335" s="22"/>
      <c r="W335" s="22"/>
      <c r="X335" s="22"/>
      <c r="Y335" s="22"/>
      <c r="Z335" s="22"/>
      <c r="AA335" s="115"/>
      <c r="AB335" s="115"/>
      <c r="AC335" s="22"/>
      <c r="AD335" s="22"/>
      <c r="AE335" s="22"/>
      <c r="AF335" s="22"/>
      <c r="AG335" s="22"/>
      <c r="AH335" s="115"/>
    </row>
    <row r="336" spans="6:34" x14ac:dyDescent="0.2">
      <c r="F336" s="1"/>
      <c r="N336" s="115"/>
      <c r="O336" s="22"/>
      <c r="P336" s="22"/>
      <c r="Q336" s="22"/>
      <c r="R336" s="22"/>
      <c r="S336" s="22"/>
      <c r="T336" s="115"/>
      <c r="U336" s="115"/>
      <c r="V336" s="22"/>
      <c r="W336" s="22"/>
      <c r="X336" s="22"/>
      <c r="Y336" s="22"/>
      <c r="Z336" s="22"/>
      <c r="AA336" s="115"/>
      <c r="AB336" s="115"/>
      <c r="AC336" s="22"/>
      <c r="AD336" s="22"/>
      <c r="AE336" s="22"/>
      <c r="AF336" s="22"/>
      <c r="AG336" s="22"/>
      <c r="AH336" s="115"/>
    </row>
    <row r="337" spans="6:34" x14ac:dyDescent="0.2">
      <c r="F337" s="1"/>
      <c r="N337" s="115"/>
      <c r="O337" s="22"/>
      <c r="P337" s="22"/>
      <c r="Q337" s="22"/>
      <c r="R337" s="22"/>
      <c r="S337" s="22"/>
      <c r="T337" s="115"/>
      <c r="U337" s="115"/>
      <c r="V337" s="22"/>
      <c r="W337" s="22"/>
      <c r="X337" s="22"/>
      <c r="Y337" s="22"/>
      <c r="Z337" s="22"/>
      <c r="AA337" s="115"/>
      <c r="AB337" s="115"/>
      <c r="AC337" s="22"/>
      <c r="AD337" s="22"/>
      <c r="AE337" s="22"/>
      <c r="AF337" s="22"/>
      <c r="AG337" s="22"/>
      <c r="AH337" s="115"/>
    </row>
    <row r="338" spans="6:34" x14ac:dyDescent="0.2">
      <c r="F338" s="1"/>
      <c r="N338" s="115"/>
      <c r="O338" s="22"/>
      <c r="P338" s="22"/>
      <c r="Q338" s="22"/>
      <c r="R338" s="22"/>
      <c r="S338" s="22"/>
      <c r="T338" s="115"/>
      <c r="U338" s="115"/>
      <c r="V338" s="22"/>
      <c r="W338" s="22"/>
      <c r="X338" s="22"/>
      <c r="Y338" s="22"/>
      <c r="Z338" s="22"/>
      <c r="AA338" s="115"/>
      <c r="AB338" s="115"/>
      <c r="AC338" s="22"/>
      <c r="AD338" s="22"/>
      <c r="AE338" s="22"/>
      <c r="AF338" s="22"/>
      <c r="AG338" s="22"/>
      <c r="AH338" s="115"/>
    </row>
    <row r="339" spans="6:34" x14ac:dyDescent="0.2">
      <c r="F339" s="1"/>
      <c r="N339" s="115"/>
      <c r="O339" s="22"/>
      <c r="P339" s="22"/>
      <c r="Q339" s="22"/>
      <c r="R339" s="22"/>
      <c r="S339" s="22"/>
      <c r="T339" s="115"/>
      <c r="U339" s="115"/>
      <c r="V339" s="22"/>
      <c r="W339" s="22"/>
      <c r="X339" s="22"/>
      <c r="Y339" s="22"/>
      <c r="Z339" s="22"/>
      <c r="AA339" s="115"/>
      <c r="AB339" s="115"/>
      <c r="AC339" s="22"/>
      <c r="AD339" s="22"/>
      <c r="AE339" s="22"/>
      <c r="AF339" s="22"/>
      <c r="AG339" s="22"/>
      <c r="AH339" s="115"/>
    </row>
    <row r="340" spans="6:34" x14ac:dyDescent="0.2">
      <c r="F340" s="1"/>
      <c r="N340" s="115"/>
      <c r="O340" s="22"/>
      <c r="P340" s="22"/>
      <c r="Q340" s="22"/>
      <c r="R340" s="22"/>
      <c r="S340" s="22"/>
      <c r="T340" s="115"/>
      <c r="U340" s="115"/>
      <c r="V340" s="22"/>
      <c r="W340" s="22"/>
      <c r="X340" s="22"/>
      <c r="Y340" s="22"/>
      <c r="Z340" s="22"/>
      <c r="AA340" s="115"/>
      <c r="AB340" s="115"/>
      <c r="AC340" s="22"/>
      <c r="AD340" s="22"/>
      <c r="AE340" s="22"/>
      <c r="AF340" s="22"/>
      <c r="AG340" s="22"/>
      <c r="AH340" s="115"/>
    </row>
    <row r="341" spans="6:34" x14ac:dyDescent="0.2">
      <c r="F341" s="1"/>
      <c r="N341" s="115"/>
      <c r="O341" s="22"/>
      <c r="P341" s="22"/>
      <c r="Q341" s="22"/>
      <c r="R341" s="22"/>
      <c r="S341" s="22"/>
      <c r="T341" s="115"/>
      <c r="U341" s="115"/>
      <c r="V341" s="22"/>
      <c r="W341" s="22"/>
      <c r="X341" s="22"/>
      <c r="Y341" s="22"/>
      <c r="Z341" s="22"/>
      <c r="AA341" s="115"/>
      <c r="AB341" s="115"/>
      <c r="AC341" s="22"/>
      <c r="AD341" s="22"/>
      <c r="AE341" s="22"/>
      <c r="AF341" s="22"/>
      <c r="AG341" s="22"/>
      <c r="AH341" s="115"/>
    </row>
    <row r="342" spans="6:34" x14ac:dyDescent="0.2">
      <c r="F342" s="1"/>
      <c r="N342" s="115"/>
      <c r="O342" s="22"/>
      <c r="P342" s="22"/>
      <c r="Q342" s="22"/>
      <c r="R342" s="22"/>
      <c r="S342" s="22"/>
      <c r="T342" s="115"/>
      <c r="U342" s="115"/>
      <c r="V342" s="22"/>
      <c r="W342" s="22"/>
      <c r="X342" s="22"/>
      <c r="Y342" s="22"/>
      <c r="Z342" s="22"/>
      <c r="AA342" s="115"/>
      <c r="AB342" s="115"/>
      <c r="AC342" s="22"/>
      <c r="AD342" s="22"/>
      <c r="AE342" s="22"/>
      <c r="AF342" s="22"/>
      <c r="AG342" s="22"/>
      <c r="AH342" s="115"/>
    </row>
    <row r="343" spans="6:34" x14ac:dyDescent="0.2">
      <c r="F343" s="1"/>
      <c r="N343" s="115"/>
      <c r="O343" s="22"/>
      <c r="P343" s="22"/>
      <c r="Q343" s="22"/>
      <c r="R343" s="22"/>
      <c r="S343" s="22"/>
      <c r="T343" s="115"/>
      <c r="U343" s="115"/>
      <c r="V343" s="22"/>
      <c r="W343" s="22"/>
      <c r="X343" s="22"/>
      <c r="Y343" s="22"/>
      <c r="Z343" s="22"/>
      <c r="AA343" s="115"/>
      <c r="AB343" s="115"/>
      <c r="AC343" s="22"/>
      <c r="AD343" s="22"/>
      <c r="AE343" s="22"/>
      <c r="AF343" s="22"/>
      <c r="AG343" s="22"/>
      <c r="AH343" s="115"/>
    </row>
    <row r="344" spans="6:34" x14ac:dyDescent="0.2">
      <c r="F344" s="1"/>
      <c r="N344" s="115"/>
      <c r="O344" s="22"/>
      <c r="P344" s="22"/>
      <c r="Q344" s="22"/>
      <c r="R344" s="22"/>
      <c r="S344" s="22"/>
      <c r="T344" s="115"/>
      <c r="U344" s="115"/>
      <c r="V344" s="22"/>
      <c r="W344" s="22"/>
      <c r="X344" s="22"/>
      <c r="Y344" s="22"/>
      <c r="Z344" s="22"/>
      <c r="AA344" s="115"/>
      <c r="AB344" s="115"/>
      <c r="AC344" s="22"/>
      <c r="AD344" s="22"/>
      <c r="AE344" s="22"/>
      <c r="AF344" s="22"/>
      <c r="AG344" s="22"/>
      <c r="AH344" s="115"/>
    </row>
    <row r="345" spans="6:34" x14ac:dyDescent="0.2">
      <c r="F345" s="1"/>
      <c r="N345" s="115"/>
      <c r="O345" s="22"/>
      <c r="P345" s="22"/>
      <c r="Q345" s="22"/>
      <c r="R345" s="22"/>
      <c r="S345" s="22"/>
      <c r="T345" s="115"/>
      <c r="U345" s="115"/>
      <c r="V345" s="22"/>
      <c r="W345" s="22"/>
      <c r="X345" s="22"/>
      <c r="Y345" s="22"/>
      <c r="Z345" s="22"/>
      <c r="AA345" s="115"/>
      <c r="AB345" s="115"/>
      <c r="AC345" s="22"/>
      <c r="AD345" s="22"/>
      <c r="AE345" s="22"/>
      <c r="AF345" s="22"/>
      <c r="AG345" s="22"/>
      <c r="AH345" s="115"/>
    </row>
    <row r="346" spans="6:34" x14ac:dyDescent="0.2">
      <c r="F346" s="1"/>
      <c r="N346" s="115"/>
      <c r="O346" s="22"/>
      <c r="P346" s="22"/>
      <c r="Q346" s="22"/>
      <c r="R346" s="22"/>
      <c r="S346" s="22"/>
      <c r="T346" s="115"/>
      <c r="U346" s="115"/>
      <c r="V346" s="22"/>
      <c r="W346" s="22"/>
      <c r="X346" s="22"/>
      <c r="Y346" s="22"/>
      <c r="Z346" s="22"/>
      <c r="AA346" s="115"/>
      <c r="AB346" s="115"/>
      <c r="AC346" s="22"/>
      <c r="AD346" s="22"/>
      <c r="AE346" s="22"/>
      <c r="AF346" s="22"/>
      <c r="AG346" s="22"/>
      <c r="AH346" s="115"/>
    </row>
    <row r="347" spans="6:34" x14ac:dyDescent="0.2">
      <c r="F347" s="1"/>
      <c r="N347" s="115"/>
      <c r="O347" s="22"/>
      <c r="P347" s="22"/>
      <c r="Q347" s="22"/>
      <c r="R347" s="22"/>
      <c r="S347" s="22"/>
      <c r="T347" s="115"/>
      <c r="U347" s="115"/>
      <c r="V347" s="22"/>
      <c r="W347" s="22"/>
      <c r="X347" s="22"/>
      <c r="Y347" s="22"/>
      <c r="Z347" s="22"/>
      <c r="AA347" s="115"/>
      <c r="AB347" s="115"/>
      <c r="AC347" s="22"/>
      <c r="AD347" s="22"/>
      <c r="AE347" s="22"/>
      <c r="AF347" s="22"/>
      <c r="AG347" s="22"/>
      <c r="AH347" s="115"/>
    </row>
    <row r="348" spans="6:34" x14ac:dyDescent="0.2">
      <c r="F348" s="1"/>
      <c r="N348" s="115"/>
      <c r="O348" s="22"/>
      <c r="P348" s="22"/>
      <c r="Q348" s="22"/>
      <c r="R348" s="22"/>
      <c r="S348" s="22"/>
      <c r="T348" s="115"/>
      <c r="U348" s="115"/>
      <c r="V348" s="22"/>
      <c r="W348" s="22"/>
      <c r="X348" s="22"/>
      <c r="Y348" s="22"/>
      <c r="Z348" s="22"/>
      <c r="AA348" s="115"/>
      <c r="AB348" s="115"/>
      <c r="AC348" s="22"/>
      <c r="AD348" s="22"/>
      <c r="AE348" s="22"/>
      <c r="AF348" s="22"/>
      <c r="AG348" s="22"/>
      <c r="AH348" s="115"/>
    </row>
    <row r="349" spans="6:34" x14ac:dyDescent="0.2">
      <c r="F349" s="1"/>
      <c r="N349" s="115"/>
      <c r="O349" s="22"/>
      <c r="P349" s="22"/>
      <c r="Q349" s="22"/>
      <c r="R349" s="22"/>
      <c r="S349" s="22"/>
      <c r="T349" s="115"/>
      <c r="U349" s="115"/>
      <c r="V349" s="22"/>
      <c r="W349" s="22"/>
      <c r="X349" s="22"/>
      <c r="Y349" s="22"/>
      <c r="Z349" s="22"/>
      <c r="AA349" s="115"/>
      <c r="AB349" s="115"/>
      <c r="AC349" s="22"/>
      <c r="AD349" s="22"/>
      <c r="AE349" s="22"/>
      <c r="AF349" s="22"/>
      <c r="AG349" s="22"/>
      <c r="AH349" s="115"/>
    </row>
    <row r="350" spans="6:34" x14ac:dyDescent="0.2">
      <c r="F350" s="1"/>
      <c r="N350" s="115"/>
      <c r="O350" s="22"/>
      <c r="P350" s="22"/>
      <c r="Q350" s="22"/>
      <c r="R350" s="22"/>
      <c r="S350" s="22"/>
      <c r="T350" s="115"/>
      <c r="U350" s="115"/>
      <c r="V350" s="22"/>
      <c r="W350" s="22"/>
      <c r="X350" s="22"/>
      <c r="Y350" s="22"/>
      <c r="Z350" s="22"/>
      <c r="AA350" s="115"/>
      <c r="AB350" s="115"/>
      <c r="AC350" s="22"/>
      <c r="AD350" s="22"/>
      <c r="AE350" s="22"/>
      <c r="AF350" s="22"/>
      <c r="AG350" s="22"/>
      <c r="AH350" s="115"/>
    </row>
    <row r="351" spans="6:34" x14ac:dyDescent="0.2">
      <c r="F351" s="1"/>
      <c r="N351" s="115"/>
      <c r="O351" s="22"/>
      <c r="P351" s="22"/>
      <c r="Q351" s="22"/>
      <c r="R351" s="22"/>
      <c r="S351" s="22"/>
      <c r="T351" s="115"/>
      <c r="U351" s="115"/>
      <c r="V351" s="22"/>
      <c r="W351" s="22"/>
      <c r="X351" s="22"/>
      <c r="Y351" s="22"/>
      <c r="Z351" s="22"/>
      <c r="AA351" s="115"/>
      <c r="AB351" s="115"/>
      <c r="AC351" s="22"/>
      <c r="AD351" s="22"/>
      <c r="AE351" s="22"/>
      <c r="AF351" s="22"/>
      <c r="AG351" s="22"/>
      <c r="AH351" s="115"/>
    </row>
    <row r="352" spans="6:34" x14ac:dyDescent="0.2">
      <c r="F352" s="1"/>
      <c r="N352" s="115"/>
      <c r="O352" s="22"/>
      <c r="P352" s="22"/>
      <c r="Q352" s="22"/>
      <c r="R352" s="22"/>
      <c r="S352" s="22"/>
      <c r="T352" s="115"/>
      <c r="U352" s="115"/>
      <c r="V352" s="22"/>
      <c r="W352" s="22"/>
      <c r="X352" s="22"/>
      <c r="Y352" s="22"/>
      <c r="Z352" s="22"/>
      <c r="AA352" s="115"/>
      <c r="AB352" s="115"/>
      <c r="AC352" s="22"/>
      <c r="AD352" s="22"/>
      <c r="AE352" s="22"/>
      <c r="AF352" s="22"/>
      <c r="AG352" s="22"/>
      <c r="AH352" s="115"/>
    </row>
    <row r="353" spans="6:34" x14ac:dyDescent="0.2">
      <c r="F353" s="1"/>
      <c r="N353" s="115"/>
      <c r="O353" s="22"/>
      <c r="P353" s="22"/>
      <c r="Q353" s="22"/>
      <c r="R353" s="22"/>
      <c r="S353" s="22"/>
      <c r="T353" s="115"/>
      <c r="U353" s="115"/>
      <c r="V353" s="22"/>
      <c r="W353" s="22"/>
      <c r="X353" s="22"/>
      <c r="Y353" s="22"/>
      <c r="Z353" s="22"/>
      <c r="AA353" s="115"/>
      <c r="AB353" s="115"/>
      <c r="AC353" s="22"/>
      <c r="AD353" s="22"/>
      <c r="AE353" s="22"/>
      <c r="AF353" s="22"/>
      <c r="AG353" s="22"/>
      <c r="AH353" s="115"/>
    </row>
    <row r="354" spans="6:34" x14ac:dyDescent="0.2">
      <c r="F354" s="1"/>
      <c r="N354" s="115"/>
      <c r="O354" s="22"/>
      <c r="P354" s="22"/>
      <c r="Q354" s="22"/>
      <c r="R354" s="22"/>
      <c r="S354" s="22"/>
      <c r="T354" s="115"/>
      <c r="U354" s="115"/>
      <c r="V354" s="22"/>
      <c r="W354" s="22"/>
      <c r="X354" s="22"/>
      <c r="Y354" s="22"/>
      <c r="Z354" s="22"/>
      <c r="AA354" s="115"/>
      <c r="AB354" s="115"/>
      <c r="AC354" s="22"/>
      <c r="AD354" s="22"/>
      <c r="AE354" s="22"/>
      <c r="AF354" s="22"/>
      <c r="AG354" s="22"/>
      <c r="AH354" s="115"/>
    </row>
    <row r="355" spans="6:34" x14ac:dyDescent="0.2">
      <c r="F355" s="1"/>
      <c r="N355" s="115"/>
      <c r="O355" s="22"/>
      <c r="P355" s="22"/>
      <c r="Q355" s="22"/>
      <c r="R355" s="22"/>
      <c r="S355" s="22"/>
      <c r="T355" s="115"/>
      <c r="U355" s="115"/>
      <c r="V355" s="22"/>
      <c r="W355" s="22"/>
      <c r="X355" s="22"/>
      <c r="Y355" s="22"/>
      <c r="Z355" s="22"/>
      <c r="AA355" s="115"/>
      <c r="AB355" s="115"/>
      <c r="AC355" s="22"/>
      <c r="AD355" s="22"/>
      <c r="AE355" s="22"/>
      <c r="AF355" s="22"/>
      <c r="AG355" s="22"/>
      <c r="AH355" s="115"/>
    </row>
    <row r="356" spans="6:34" x14ac:dyDescent="0.2">
      <c r="F356" s="1"/>
      <c r="N356" s="115"/>
      <c r="O356" s="22"/>
      <c r="P356" s="22"/>
      <c r="Q356" s="22"/>
      <c r="R356" s="22"/>
      <c r="S356" s="22"/>
      <c r="T356" s="115"/>
      <c r="U356" s="115"/>
      <c r="V356" s="22"/>
      <c r="W356" s="22"/>
      <c r="X356" s="22"/>
      <c r="Y356" s="22"/>
      <c r="Z356" s="22"/>
      <c r="AA356" s="115"/>
      <c r="AB356" s="115"/>
      <c r="AC356" s="22"/>
      <c r="AD356" s="22"/>
      <c r="AE356" s="22"/>
      <c r="AF356" s="22"/>
      <c r="AG356" s="22"/>
      <c r="AH356" s="115"/>
    </row>
    <row r="357" spans="6:34" x14ac:dyDescent="0.2">
      <c r="F357" s="1"/>
      <c r="N357" s="115"/>
      <c r="O357" s="22"/>
      <c r="P357" s="22"/>
      <c r="Q357" s="22"/>
      <c r="R357" s="22"/>
      <c r="S357" s="22"/>
      <c r="T357" s="115"/>
      <c r="U357" s="115"/>
      <c r="V357" s="22"/>
      <c r="W357" s="22"/>
      <c r="X357" s="22"/>
      <c r="Y357" s="22"/>
      <c r="Z357" s="22"/>
      <c r="AA357" s="115"/>
      <c r="AB357" s="115"/>
      <c r="AC357" s="22"/>
      <c r="AD357" s="22"/>
      <c r="AE357" s="22"/>
      <c r="AF357" s="22"/>
      <c r="AG357" s="22"/>
      <c r="AH357" s="115"/>
    </row>
    <row r="358" spans="6:34" x14ac:dyDescent="0.2">
      <c r="F358" s="1"/>
      <c r="N358" s="115"/>
      <c r="O358" s="22"/>
      <c r="P358" s="22"/>
      <c r="Q358" s="22"/>
      <c r="R358" s="22"/>
      <c r="S358" s="22"/>
      <c r="T358" s="115"/>
      <c r="U358" s="115"/>
      <c r="V358" s="22"/>
      <c r="W358" s="22"/>
      <c r="X358" s="22"/>
      <c r="Y358" s="22"/>
      <c r="Z358" s="22"/>
      <c r="AA358" s="115"/>
      <c r="AB358" s="115"/>
      <c r="AC358" s="22"/>
      <c r="AD358" s="22"/>
      <c r="AE358" s="22"/>
      <c r="AF358" s="22"/>
      <c r="AG358" s="22"/>
      <c r="AH358" s="115"/>
    </row>
    <row r="359" spans="6:34" x14ac:dyDescent="0.2">
      <c r="F359" s="1"/>
      <c r="N359" s="115"/>
      <c r="O359" s="22"/>
      <c r="P359" s="22"/>
      <c r="Q359" s="22"/>
      <c r="R359" s="22"/>
      <c r="S359" s="22"/>
      <c r="T359" s="115"/>
      <c r="U359" s="115"/>
      <c r="V359" s="22"/>
      <c r="W359" s="22"/>
      <c r="X359" s="22"/>
      <c r="Y359" s="22"/>
      <c r="Z359" s="22"/>
      <c r="AA359" s="115"/>
      <c r="AB359" s="115"/>
      <c r="AC359" s="22"/>
      <c r="AD359" s="22"/>
      <c r="AE359" s="22"/>
      <c r="AF359" s="22"/>
      <c r="AG359" s="22"/>
      <c r="AH359" s="115"/>
    </row>
    <row r="360" spans="6:34" x14ac:dyDescent="0.2">
      <c r="F360" s="1"/>
      <c r="N360" s="115"/>
      <c r="O360" s="22"/>
      <c r="P360" s="22"/>
      <c r="Q360" s="22"/>
      <c r="R360" s="22"/>
      <c r="S360" s="22"/>
      <c r="T360" s="115"/>
      <c r="U360" s="115"/>
      <c r="V360" s="22"/>
      <c r="W360" s="22"/>
      <c r="X360" s="22"/>
      <c r="Y360" s="22"/>
      <c r="Z360" s="22"/>
      <c r="AA360" s="115"/>
      <c r="AB360" s="115"/>
      <c r="AC360" s="22"/>
      <c r="AD360" s="22"/>
      <c r="AE360" s="22"/>
      <c r="AF360" s="22"/>
      <c r="AG360" s="22"/>
      <c r="AH360" s="115"/>
    </row>
    <row r="361" spans="6:34" x14ac:dyDescent="0.2">
      <c r="F361" s="1"/>
      <c r="N361" s="115"/>
      <c r="O361" s="22"/>
      <c r="P361" s="22"/>
      <c r="Q361" s="22"/>
      <c r="R361" s="22"/>
      <c r="S361" s="22"/>
      <c r="T361" s="115"/>
      <c r="U361" s="115"/>
      <c r="V361" s="22"/>
      <c r="W361" s="22"/>
      <c r="X361" s="22"/>
      <c r="Y361" s="22"/>
      <c r="Z361" s="22"/>
      <c r="AA361" s="115"/>
      <c r="AB361" s="115"/>
      <c r="AC361" s="22"/>
      <c r="AD361" s="22"/>
      <c r="AE361" s="22"/>
      <c r="AF361" s="22"/>
      <c r="AG361" s="22"/>
      <c r="AH361" s="115"/>
    </row>
    <row r="362" spans="6:34" x14ac:dyDescent="0.2">
      <c r="F362" s="1"/>
      <c r="N362" s="115"/>
      <c r="O362" s="22"/>
      <c r="P362" s="22"/>
      <c r="Q362" s="22"/>
      <c r="R362" s="22"/>
      <c r="S362" s="22"/>
      <c r="T362" s="115"/>
      <c r="U362" s="115"/>
      <c r="V362" s="22"/>
      <c r="W362" s="22"/>
      <c r="X362" s="22"/>
      <c r="Y362" s="22"/>
      <c r="Z362" s="22"/>
      <c r="AA362" s="115"/>
      <c r="AB362" s="115"/>
      <c r="AC362" s="22"/>
      <c r="AD362" s="22"/>
      <c r="AE362" s="22"/>
      <c r="AF362" s="22"/>
      <c r="AG362" s="22"/>
      <c r="AH362" s="115"/>
    </row>
    <row r="363" spans="6:34" x14ac:dyDescent="0.2">
      <c r="F363" s="1"/>
      <c r="N363" s="115"/>
      <c r="O363" s="22"/>
      <c r="P363" s="22"/>
      <c r="Q363" s="22"/>
      <c r="R363" s="22"/>
      <c r="S363" s="22"/>
      <c r="T363" s="115"/>
      <c r="U363" s="115"/>
      <c r="V363" s="22"/>
      <c r="W363" s="22"/>
      <c r="X363" s="22"/>
      <c r="Y363" s="22"/>
      <c r="Z363" s="22"/>
      <c r="AA363" s="115"/>
      <c r="AB363" s="115"/>
      <c r="AC363" s="22"/>
      <c r="AD363" s="22"/>
      <c r="AE363" s="22"/>
      <c r="AF363" s="22"/>
      <c r="AG363" s="22"/>
      <c r="AH363" s="115"/>
    </row>
    <row r="364" spans="6:34" x14ac:dyDescent="0.2">
      <c r="F364" s="1"/>
      <c r="N364" s="115"/>
      <c r="O364" s="22"/>
      <c r="P364" s="22"/>
      <c r="Q364" s="22"/>
      <c r="R364" s="22"/>
      <c r="S364" s="22"/>
      <c r="T364" s="115"/>
      <c r="U364" s="115"/>
      <c r="V364" s="22"/>
      <c r="W364" s="22"/>
      <c r="X364" s="22"/>
      <c r="Y364" s="22"/>
      <c r="Z364" s="22"/>
      <c r="AA364" s="115"/>
      <c r="AB364" s="115"/>
      <c r="AC364" s="22"/>
      <c r="AD364" s="22"/>
      <c r="AE364" s="22"/>
      <c r="AF364" s="22"/>
      <c r="AG364" s="22"/>
      <c r="AH364" s="115"/>
    </row>
    <row r="365" spans="6:34" x14ac:dyDescent="0.2">
      <c r="F365" s="1"/>
      <c r="N365" s="115"/>
      <c r="O365" s="22"/>
      <c r="P365" s="22"/>
      <c r="Q365" s="22"/>
      <c r="R365" s="22"/>
      <c r="S365" s="22"/>
      <c r="T365" s="115"/>
      <c r="U365" s="115"/>
      <c r="V365" s="22"/>
      <c r="W365" s="22"/>
      <c r="X365" s="22"/>
      <c r="Y365" s="22"/>
      <c r="Z365" s="22"/>
      <c r="AA365" s="115"/>
      <c r="AB365" s="115"/>
      <c r="AC365" s="22"/>
      <c r="AD365" s="22"/>
      <c r="AE365" s="22"/>
      <c r="AF365" s="22"/>
      <c r="AG365" s="22"/>
      <c r="AH365" s="115"/>
    </row>
    <row r="366" spans="6:34" x14ac:dyDescent="0.2">
      <c r="F366" s="1"/>
      <c r="N366" s="115"/>
      <c r="O366" s="22"/>
      <c r="P366" s="22"/>
      <c r="Q366" s="22"/>
      <c r="R366" s="22"/>
      <c r="S366" s="22"/>
      <c r="T366" s="115"/>
      <c r="U366" s="115"/>
      <c r="V366" s="22"/>
      <c r="W366" s="22"/>
      <c r="X366" s="22"/>
      <c r="Y366" s="22"/>
      <c r="Z366" s="22"/>
      <c r="AA366" s="115"/>
      <c r="AB366" s="115"/>
      <c r="AC366" s="22"/>
      <c r="AD366" s="22"/>
      <c r="AE366" s="22"/>
      <c r="AF366" s="22"/>
      <c r="AG366" s="22"/>
      <c r="AH366" s="115"/>
    </row>
    <row r="367" spans="6:34" x14ac:dyDescent="0.2">
      <c r="F367" s="1"/>
      <c r="N367" s="115"/>
      <c r="O367" s="22"/>
      <c r="P367" s="22"/>
      <c r="Q367" s="22"/>
      <c r="R367" s="22"/>
      <c r="S367" s="22"/>
      <c r="T367" s="115"/>
      <c r="U367" s="115"/>
      <c r="V367" s="22"/>
      <c r="W367" s="22"/>
      <c r="X367" s="22"/>
      <c r="Y367" s="22"/>
      <c r="Z367" s="22"/>
      <c r="AA367" s="115"/>
      <c r="AB367" s="115"/>
      <c r="AC367" s="22"/>
      <c r="AD367" s="22"/>
      <c r="AE367" s="22"/>
      <c r="AF367" s="22"/>
      <c r="AG367" s="22"/>
      <c r="AH367" s="115"/>
    </row>
    <row r="368" spans="6:34" x14ac:dyDescent="0.2">
      <c r="F368" s="1"/>
      <c r="N368" s="115"/>
      <c r="O368" s="22"/>
      <c r="P368" s="22"/>
      <c r="Q368" s="22"/>
      <c r="R368" s="22"/>
      <c r="S368" s="22"/>
      <c r="T368" s="115"/>
      <c r="U368" s="115"/>
      <c r="V368" s="22"/>
      <c r="W368" s="22"/>
      <c r="X368" s="22"/>
      <c r="Y368" s="22"/>
      <c r="Z368" s="22"/>
      <c r="AA368" s="115"/>
      <c r="AB368" s="115"/>
      <c r="AC368" s="22"/>
      <c r="AD368" s="22"/>
      <c r="AE368" s="22"/>
      <c r="AF368" s="22"/>
      <c r="AG368" s="22"/>
      <c r="AH368" s="115"/>
    </row>
    <row r="369" spans="6:34" x14ac:dyDescent="0.2">
      <c r="F369" s="1"/>
      <c r="N369" s="115"/>
      <c r="O369" s="22"/>
      <c r="P369" s="22"/>
      <c r="Q369" s="22"/>
      <c r="R369" s="22"/>
      <c r="S369" s="22"/>
      <c r="T369" s="115"/>
      <c r="U369" s="115"/>
      <c r="V369" s="22"/>
      <c r="W369" s="22"/>
      <c r="X369" s="22"/>
      <c r="Y369" s="22"/>
      <c r="Z369" s="22"/>
      <c r="AA369" s="115"/>
      <c r="AB369" s="115"/>
      <c r="AC369" s="22"/>
      <c r="AD369" s="22"/>
      <c r="AE369" s="22"/>
      <c r="AF369" s="22"/>
      <c r="AG369" s="22"/>
      <c r="AH369" s="115"/>
    </row>
    <row r="370" spans="6:34" x14ac:dyDescent="0.2">
      <c r="F370" s="1"/>
      <c r="N370" s="115"/>
      <c r="O370" s="22"/>
      <c r="P370" s="22"/>
      <c r="Q370" s="22"/>
      <c r="R370" s="22"/>
      <c r="S370" s="22"/>
      <c r="T370" s="115"/>
      <c r="U370" s="115"/>
      <c r="V370" s="22"/>
      <c r="W370" s="22"/>
      <c r="X370" s="22"/>
      <c r="Y370" s="22"/>
      <c r="Z370" s="22"/>
      <c r="AA370" s="115"/>
      <c r="AB370" s="115"/>
      <c r="AC370" s="22"/>
      <c r="AD370" s="22"/>
      <c r="AE370" s="22"/>
      <c r="AF370" s="22"/>
      <c r="AG370" s="22"/>
      <c r="AH370" s="115"/>
    </row>
    <row r="371" spans="6:34" x14ac:dyDescent="0.2">
      <c r="F371" s="1"/>
      <c r="N371" s="115"/>
      <c r="O371" s="22"/>
      <c r="P371" s="22"/>
      <c r="Q371" s="22"/>
      <c r="R371" s="22"/>
      <c r="S371" s="22"/>
      <c r="T371" s="115"/>
      <c r="U371" s="115"/>
      <c r="V371" s="22"/>
      <c r="W371" s="22"/>
      <c r="X371" s="22"/>
      <c r="Y371" s="22"/>
      <c r="Z371" s="22"/>
      <c r="AA371" s="115"/>
      <c r="AB371" s="115"/>
      <c r="AC371" s="22"/>
      <c r="AD371" s="22"/>
      <c r="AE371" s="22"/>
      <c r="AF371" s="22"/>
      <c r="AG371" s="22"/>
      <c r="AH371" s="115"/>
    </row>
    <row r="372" spans="6:34" x14ac:dyDescent="0.2">
      <c r="F372" s="1"/>
      <c r="N372" s="115"/>
      <c r="O372" s="22"/>
      <c r="P372" s="22"/>
      <c r="Q372" s="22"/>
      <c r="R372" s="22"/>
      <c r="S372" s="22"/>
      <c r="T372" s="115"/>
      <c r="U372" s="115"/>
      <c r="V372" s="22"/>
      <c r="W372" s="22"/>
      <c r="X372" s="22"/>
      <c r="Y372" s="22"/>
      <c r="Z372" s="22"/>
      <c r="AA372" s="115"/>
      <c r="AB372" s="115"/>
      <c r="AC372" s="22"/>
      <c r="AD372" s="22"/>
      <c r="AE372" s="22"/>
      <c r="AF372" s="22"/>
      <c r="AG372" s="22"/>
      <c r="AH372" s="115"/>
    </row>
    <row r="373" spans="6:34" x14ac:dyDescent="0.2">
      <c r="F373" s="1"/>
      <c r="N373" s="115"/>
      <c r="O373" s="22"/>
      <c r="P373" s="22"/>
      <c r="Q373" s="22"/>
      <c r="R373" s="22"/>
      <c r="S373" s="22"/>
      <c r="T373" s="115"/>
      <c r="U373" s="115"/>
      <c r="V373" s="22"/>
      <c r="W373" s="22"/>
      <c r="X373" s="22"/>
      <c r="Y373" s="22"/>
      <c r="Z373" s="22"/>
      <c r="AA373" s="115"/>
      <c r="AB373" s="115"/>
      <c r="AC373" s="22"/>
      <c r="AD373" s="22"/>
      <c r="AE373" s="22"/>
      <c r="AF373" s="22"/>
      <c r="AG373" s="22"/>
      <c r="AH373" s="115"/>
    </row>
    <row r="374" spans="6:34" x14ac:dyDescent="0.2">
      <c r="F374" s="1"/>
      <c r="N374" s="115"/>
      <c r="O374" s="22"/>
      <c r="P374" s="22"/>
      <c r="Q374" s="22"/>
      <c r="R374" s="22"/>
      <c r="S374" s="22"/>
      <c r="T374" s="115"/>
      <c r="U374" s="115"/>
      <c r="V374" s="22"/>
      <c r="W374" s="22"/>
      <c r="X374" s="22"/>
      <c r="Y374" s="22"/>
      <c r="Z374" s="22"/>
      <c r="AA374" s="115"/>
      <c r="AB374" s="115"/>
      <c r="AC374" s="22"/>
      <c r="AD374" s="22"/>
      <c r="AE374" s="22"/>
      <c r="AF374" s="22"/>
      <c r="AG374" s="22"/>
      <c r="AH374" s="115"/>
    </row>
    <row r="375" spans="6:34" x14ac:dyDescent="0.2">
      <c r="F375" s="1"/>
      <c r="N375" s="115"/>
      <c r="O375" s="22"/>
      <c r="P375" s="22"/>
      <c r="Q375" s="22"/>
      <c r="R375" s="22"/>
      <c r="S375" s="22"/>
      <c r="T375" s="115"/>
      <c r="U375" s="115"/>
      <c r="V375" s="22"/>
      <c r="W375" s="22"/>
      <c r="X375" s="22"/>
      <c r="Y375" s="22"/>
      <c r="Z375" s="22"/>
      <c r="AA375" s="115"/>
      <c r="AB375" s="115"/>
      <c r="AC375" s="22"/>
      <c r="AD375" s="22"/>
      <c r="AE375" s="22"/>
      <c r="AF375" s="22"/>
      <c r="AG375" s="22"/>
      <c r="AH375" s="115"/>
    </row>
    <row r="376" spans="6:34" x14ac:dyDescent="0.2">
      <c r="F376" s="1"/>
      <c r="N376" s="115"/>
      <c r="O376" s="22"/>
      <c r="P376" s="22"/>
      <c r="Q376" s="22"/>
      <c r="R376" s="22"/>
      <c r="S376" s="22"/>
      <c r="T376" s="115"/>
      <c r="U376" s="115"/>
      <c r="V376" s="22"/>
      <c r="W376" s="22"/>
      <c r="X376" s="22"/>
      <c r="Y376" s="22"/>
      <c r="Z376" s="22"/>
      <c r="AA376" s="115"/>
      <c r="AB376" s="115"/>
      <c r="AC376" s="22"/>
      <c r="AD376" s="22"/>
      <c r="AE376" s="22"/>
      <c r="AF376" s="22"/>
      <c r="AG376" s="22"/>
      <c r="AH376" s="115"/>
    </row>
    <row r="377" spans="6:34" x14ac:dyDescent="0.2">
      <c r="F377" s="1"/>
      <c r="N377" s="115"/>
      <c r="O377" s="22"/>
      <c r="P377" s="22"/>
      <c r="Q377" s="22"/>
      <c r="R377" s="22"/>
      <c r="S377" s="22"/>
      <c r="T377" s="115"/>
      <c r="U377" s="115"/>
      <c r="V377" s="22"/>
      <c r="W377" s="22"/>
      <c r="X377" s="22"/>
      <c r="Y377" s="22"/>
      <c r="Z377" s="22"/>
      <c r="AA377" s="115"/>
      <c r="AB377" s="115"/>
      <c r="AC377" s="22"/>
      <c r="AD377" s="22"/>
      <c r="AE377" s="22"/>
      <c r="AF377" s="22"/>
      <c r="AG377" s="22"/>
      <c r="AH377" s="115"/>
    </row>
    <row r="378" spans="6:34" x14ac:dyDescent="0.2">
      <c r="F378" s="1"/>
      <c r="N378" s="115"/>
      <c r="O378" s="22"/>
      <c r="P378" s="22"/>
      <c r="Q378" s="22"/>
      <c r="R378" s="22"/>
      <c r="S378" s="22"/>
      <c r="T378" s="115"/>
      <c r="U378" s="115"/>
      <c r="V378" s="22"/>
      <c r="W378" s="22"/>
      <c r="X378" s="22"/>
      <c r="Y378" s="22"/>
      <c r="Z378" s="22"/>
      <c r="AA378" s="115"/>
      <c r="AB378" s="115"/>
      <c r="AC378" s="22"/>
      <c r="AD378" s="22"/>
      <c r="AE378" s="22"/>
      <c r="AF378" s="22"/>
      <c r="AG378" s="22"/>
      <c r="AH378" s="115"/>
    </row>
    <row r="379" spans="6:34" x14ac:dyDescent="0.2">
      <c r="F379" s="1"/>
      <c r="N379" s="115"/>
      <c r="O379" s="22"/>
      <c r="P379" s="22"/>
      <c r="Q379" s="22"/>
      <c r="R379" s="22"/>
      <c r="S379" s="22"/>
      <c r="T379" s="115"/>
      <c r="U379" s="115"/>
      <c r="V379" s="22"/>
      <c r="W379" s="22"/>
      <c r="X379" s="22"/>
      <c r="Y379" s="22"/>
      <c r="Z379" s="22"/>
      <c r="AA379" s="115"/>
      <c r="AB379" s="115"/>
      <c r="AC379" s="22"/>
      <c r="AD379" s="22"/>
      <c r="AE379" s="22"/>
      <c r="AF379" s="22"/>
      <c r="AG379" s="22"/>
      <c r="AH379" s="115"/>
    </row>
    <row r="380" spans="6:34" x14ac:dyDescent="0.2">
      <c r="F380" s="1"/>
      <c r="N380" s="115"/>
      <c r="O380" s="22"/>
      <c r="P380" s="22"/>
      <c r="Q380" s="22"/>
      <c r="R380" s="22"/>
      <c r="S380" s="22"/>
      <c r="T380" s="115"/>
      <c r="U380" s="115"/>
      <c r="V380" s="22"/>
      <c r="W380" s="22"/>
      <c r="X380" s="22"/>
      <c r="Y380" s="22"/>
      <c r="Z380" s="22"/>
      <c r="AA380" s="115"/>
      <c r="AB380" s="115"/>
      <c r="AC380" s="22"/>
      <c r="AD380" s="22"/>
      <c r="AE380" s="22"/>
      <c r="AF380" s="22"/>
      <c r="AG380" s="22"/>
      <c r="AH380" s="115"/>
    </row>
    <row r="381" spans="6:34" x14ac:dyDescent="0.2">
      <c r="F381" s="1"/>
      <c r="N381" s="115"/>
      <c r="O381" s="22"/>
      <c r="P381" s="22"/>
      <c r="Q381" s="22"/>
      <c r="R381" s="22"/>
      <c r="S381" s="22"/>
      <c r="T381" s="115"/>
      <c r="U381" s="115"/>
      <c r="V381" s="22"/>
      <c r="W381" s="22"/>
      <c r="X381" s="22"/>
      <c r="Y381" s="22"/>
      <c r="Z381" s="22"/>
      <c r="AA381" s="115"/>
      <c r="AB381" s="115"/>
      <c r="AC381" s="22"/>
      <c r="AD381" s="22"/>
      <c r="AE381" s="22"/>
      <c r="AF381" s="22"/>
      <c r="AG381" s="22"/>
      <c r="AH381" s="115"/>
    </row>
    <row r="382" spans="6:34" x14ac:dyDescent="0.2">
      <c r="F382" s="1"/>
      <c r="N382" s="115"/>
      <c r="O382" s="22"/>
      <c r="P382" s="22"/>
      <c r="Q382" s="22"/>
      <c r="R382" s="22"/>
      <c r="S382" s="22"/>
      <c r="T382" s="115"/>
      <c r="U382" s="115"/>
      <c r="V382" s="22"/>
      <c r="W382" s="22"/>
      <c r="X382" s="22"/>
      <c r="Y382" s="22"/>
      <c r="Z382" s="22"/>
      <c r="AA382" s="115"/>
      <c r="AB382" s="115"/>
      <c r="AC382" s="22"/>
      <c r="AD382" s="22"/>
      <c r="AE382" s="22"/>
      <c r="AF382" s="22"/>
      <c r="AG382" s="22"/>
      <c r="AH382" s="115"/>
    </row>
    <row r="383" spans="6:34" x14ac:dyDescent="0.2">
      <c r="F383" s="1"/>
      <c r="N383" s="115"/>
      <c r="O383" s="22"/>
      <c r="P383" s="22"/>
      <c r="Q383" s="22"/>
      <c r="R383" s="22"/>
      <c r="S383" s="22"/>
      <c r="T383" s="115"/>
      <c r="U383" s="115"/>
      <c r="V383" s="22"/>
      <c r="W383" s="22"/>
      <c r="X383" s="22"/>
      <c r="Y383" s="22"/>
      <c r="Z383" s="22"/>
      <c r="AA383" s="115"/>
      <c r="AB383" s="115"/>
      <c r="AC383" s="22"/>
      <c r="AD383" s="22"/>
      <c r="AE383" s="22"/>
      <c r="AF383" s="22"/>
      <c r="AG383" s="22"/>
      <c r="AH383" s="115"/>
    </row>
    <row r="384" spans="6:34" x14ac:dyDescent="0.2">
      <c r="F384" s="1"/>
      <c r="N384" s="115"/>
      <c r="O384" s="22"/>
      <c r="P384" s="22"/>
      <c r="Q384" s="22"/>
      <c r="R384" s="22"/>
      <c r="S384" s="22"/>
      <c r="T384" s="115"/>
      <c r="U384" s="115"/>
      <c r="V384" s="22"/>
      <c r="W384" s="22"/>
      <c r="X384" s="22"/>
      <c r="Y384" s="22"/>
      <c r="Z384" s="22"/>
      <c r="AA384" s="115"/>
      <c r="AB384" s="115"/>
      <c r="AC384" s="22"/>
      <c r="AD384" s="22"/>
      <c r="AE384" s="22"/>
      <c r="AF384" s="22"/>
      <c r="AG384" s="22"/>
      <c r="AH384" s="115"/>
    </row>
    <row r="385" spans="6:34" x14ac:dyDescent="0.2">
      <c r="F385" s="1"/>
      <c r="N385" s="115"/>
      <c r="O385" s="22"/>
      <c r="P385" s="22"/>
      <c r="Q385" s="22"/>
      <c r="R385" s="22"/>
      <c r="S385" s="22"/>
      <c r="T385" s="115"/>
      <c r="U385" s="115"/>
      <c r="V385" s="22"/>
      <c r="W385" s="22"/>
      <c r="X385" s="22"/>
      <c r="Y385" s="22"/>
      <c r="Z385" s="22"/>
      <c r="AA385" s="115"/>
      <c r="AB385" s="115"/>
      <c r="AC385" s="22"/>
      <c r="AD385" s="22"/>
      <c r="AE385" s="22"/>
      <c r="AF385" s="22"/>
      <c r="AG385" s="22"/>
      <c r="AH385" s="115"/>
    </row>
    <row r="386" spans="6:34" x14ac:dyDescent="0.2">
      <c r="F386" s="1"/>
      <c r="N386" s="115"/>
      <c r="O386" s="22"/>
      <c r="P386" s="22"/>
      <c r="Q386" s="22"/>
      <c r="R386" s="22"/>
      <c r="S386" s="22"/>
      <c r="T386" s="115"/>
      <c r="U386" s="115"/>
      <c r="V386" s="22"/>
      <c r="W386" s="22"/>
      <c r="X386" s="22"/>
      <c r="Y386" s="22"/>
      <c r="Z386" s="22"/>
      <c r="AA386" s="115"/>
      <c r="AB386" s="115"/>
      <c r="AC386" s="22"/>
      <c r="AD386" s="22"/>
      <c r="AE386" s="22"/>
      <c r="AF386" s="22"/>
      <c r="AG386" s="22"/>
      <c r="AH386" s="115"/>
    </row>
    <row r="387" spans="6:34" x14ac:dyDescent="0.2">
      <c r="F387" s="1"/>
      <c r="N387" s="115"/>
      <c r="O387" s="22"/>
      <c r="P387" s="22"/>
      <c r="Q387" s="22"/>
      <c r="R387" s="22"/>
      <c r="S387" s="22"/>
      <c r="T387" s="115"/>
      <c r="U387" s="115"/>
      <c r="V387" s="22"/>
      <c r="W387" s="22"/>
      <c r="X387" s="22"/>
      <c r="Y387" s="22"/>
      <c r="Z387" s="22"/>
      <c r="AA387" s="115"/>
      <c r="AB387" s="115"/>
      <c r="AC387" s="22"/>
      <c r="AD387" s="22"/>
      <c r="AE387" s="22"/>
      <c r="AF387" s="22"/>
      <c r="AG387" s="22"/>
      <c r="AH387" s="115"/>
    </row>
    <row r="388" spans="6:34" x14ac:dyDescent="0.2">
      <c r="F388" s="1"/>
      <c r="N388" s="115"/>
      <c r="O388" s="22"/>
      <c r="P388" s="22"/>
      <c r="Q388" s="22"/>
      <c r="R388" s="22"/>
      <c r="S388" s="22"/>
      <c r="T388" s="115"/>
      <c r="U388" s="115"/>
      <c r="V388" s="22"/>
      <c r="W388" s="22"/>
      <c r="X388" s="22"/>
      <c r="Y388" s="22"/>
      <c r="Z388" s="22"/>
      <c r="AA388" s="115"/>
      <c r="AB388" s="115"/>
      <c r="AC388" s="22"/>
      <c r="AD388" s="22"/>
      <c r="AE388" s="22"/>
      <c r="AF388" s="22"/>
      <c r="AG388" s="22"/>
      <c r="AH388" s="115"/>
    </row>
    <row r="389" spans="6:34" x14ac:dyDescent="0.2">
      <c r="F389" s="1"/>
      <c r="N389" s="115"/>
      <c r="O389" s="22"/>
      <c r="P389" s="22"/>
      <c r="Q389" s="22"/>
      <c r="R389" s="22"/>
      <c r="S389" s="22"/>
      <c r="T389" s="115"/>
      <c r="U389" s="115"/>
      <c r="V389" s="22"/>
      <c r="W389" s="22"/>
      <c r="X389" s="22"/>
      <c r="Y389" s="22"/>
      <c r="Z389" s="22"/>
      <c r="AA389" s="115"/>
      <c r="AB389" s="115"/>
      <c r="AC389" s="22"/>
      <c r="AD389" s="22"/>
      <c r="AE389" s="22"/>
      <c r="AF389" s="22"/>
      <c r="AG389" s="22"/>
      <c r="AH389" s="115"/>
    </row>
    <row r="390" spans="6:34" x14ac:dyDescent="0.2">
      <c r="F390" s="1"/>
      <c r="N390" s="115"/>
      <c r="O390" s="22"/>
      <c r="P390" s="22"/>
      <c r="Q390" s="22"/>
      <c r="R390" s="22"/>
      <c r="S390" s="22"/>
      <c r="T390" s="115"/>
      <c r="U390" s="115"/>
      <c r="V390" s="22"/>
      <c r="W390" s="22"/>
      <c r="X390" s="22"/>
      <c r="Y390" s="22"/>
      <c r="Z390" s="22"/>
      <c r="AA390" s="115"/>
      <c r="AB390" s="115"/>
      <c r="AC390" s="22"/>
      <c r="AD390" s="22"/>
      <c r="AE390" s="22"/>
      <c r="AF390" s="22"/>
      <c r="AG390" s="22"/>
      <c r="AH390" s="115"/>
    </row>
    <row r="391" spans="6:34" x14ac:dyDescent="0.2">
      <c r="F391" s="1"/>
      <c r="N391" s="115"/>
      <c r="O391" s="22"/>
      <c r="P391" s="22"/>
      <c r="Q391" s="22"/>
      <c r="R391" s="22"/>
      <c r="S391" s="22"/>
      <c r="T391" s="115"/>
      <c r="U391" s="115"/>
      <c r="V391" s="22"/>
      <c r="W391" s="22"/>
      <c r="X391" s="22"/>
      <c r="Y391" s="22"/>
      <c r="Z391" s="22"/>
      <c r="AA391" s="115"/>
      <c r="AB391" s="115"/>
      <c r="AC391" s="22"/>
      <c r="AD391" s="22"/>
      <c r="AE391" s="22"/>
      <c r="AF391" s="22"/>
      <c r="AG391" s="22"/>
      <c r="AH391" s="115"/>
    </row>
    <row r="392" spans="6:34" x14ac:dyDescent="0.2">
      <c r="F392" s="1"/>
      <c r="N392" s="115"/>
      <c r="O392" s="22"/>
      <c r="P392" s="22"/>
      <c r="Q392" s="22"/>
      <c r="R392" s="22"/>
      <c r="S392" s="22"/>
      <c r="T392" s="115"/>
      <c r="U392" s="115"/>
      <c r="V392" s="22"/>
      <c r="W392" s="22"/>
      <c r="X392" s="22"/>
      <c r="Y392" s="22"/>
      <c r="Z392" s="22"/>
      <c r="AA392" s="115"/>
      <c r="AB392" s="115"/>
      <c r="AC392" s="22"/>
      <c r="AD392" s="22"/>
      <c r="AE392" s="22"/>
      <c r="AF392" s="22"/>
      <c r="AG392" s="22"/>
      <c r="AH392" s="115"/>
    </row>
    <row r="393" spans="6:34" x14ac:dyDescent="0.2">
      <c r="F393" s="1"/>
      <c r="N393" s="115"/>
      <c r="O393" s="22"/>
      <c r="P393" s="22"/>
      <c r="Q393" s="22"/>
      <c r="R393" s="22"/>
      <c r="S393" s="22"/>
      <c r="T393" s="115"/>
      <c r="U393" s="115"/>
      <c r="V393" s="22"/>
      <c r="W393" s="22"/>
      <c r="X393" s="22"/>
      <c r="Y393" s="22"/>
      <c r="Z393" s="22"/>
      <c r="AA393" s="115"/>
      <c r="AB393" s="115"/>
      <c r="AC393" s="22"/>
      <c r="AD393" s="22"/>
      <c r="AE393" s="22"/>
      <c r="AF393" s="22"/>
      <c r="AG393" s="22"/>
      <c r="AH393" s="115"/>
    </row>
    <row r="394" spans="6:34" x14ac:dyDescent="0.2">
      <c r="F394" s="1"/>
      <c r="N394" s="115"/>
      <c r="O394" s="22"/>
      <c r="P394" s="22"/>
      <c r="Q394" s="22"/>
      <c r="R394" s="22"/>
      <c r="S394" s="22"/>
      <c r="T394" s="115"/>
      <c r="U394" s="115"/>
      <c r="V394" s="22"/>
      <c r="W394" s="22"/>
      <c r="X394" s="22"/>
      <c r="Y394" s="22"/>
      <c r="Z394" s="22"/>
      <c r="AA394" s="115"/>
      <c r="AB394" s="115"/>
      <c r="AC394" s="22"/>
      <c r="AD394" s="22"/>
      <c r="AE394" s="22"/>
      <c r="AF394" s="22"/>
      <c r="AG394" s="22"/>
      <c r="AH394" s="115"/>
    </row>
    <row r="395" spans="6:34" x14ac:dyDescent="0.2">
      <c r="F395" s="1"/>
      <c r="N395" s="115"/>
      <c r="O395" s="22"/>
      <c r="P395" s="22"/>
      <c r="Q395" s="22"/>
      <c r="R395" s="22"/>
      <c r="S395" s="22"/>
      <c r="T395" s="115"/>
      <c r="U395" s="115"/>
      <c r="V395" s="22"/>
      <c r="W395" s="22"/>
      <c r="X395" s="22"/>
      <c r="Y395" s="22"/>
      <c r="Z395" s="22"/>
      <c r="AA395" s="115"/>
      <c r="AB395" s="115"/>
      <c r="AC395" s="22"/>
      <c r="AD395" s="22"/>
      <c r="AE395" s="22"/>
      <c r="AF395" s="22"/>
      <c r="AG395" s="22"/>
      <c r="AH395" s="115"/>
    </row>
    <row r="396" spans="6:34" x14ac:dyDescent="0.2">
      <c r="F396" s="1"/>
      <c r="N396" s="115"/>
      <c r="O396" s="22"/>
      <c r="P396" s="22"/>
      <c r="Q396" s="22"/>
      <c r="R396" s="22"/>
      <c r="S396" s="22"/>
      <c r="T396" s="115"/>
      <c r="U396" s="115"/>
      <c r="V396" s="22"/>
      <c r="W396" s="22"/>
      <c r="X396" s="22"/>
      <c r="Y396" s="22"/>
      <c r="Z396" s="22"/>
      <c r="AA396" s="115"/>
      <c r="AB396" s="115"/>
      <c r="AC396" s="22"/>
      <c r="AD396" s="22"/>
      <c r="AE396" s="22"/>
      <c r="AF396" s="22"/>
      <c r="AG396" s="22"/>
      <c r="AH396" s="115"/>
    </row>
    <row r="397" spans="6:34" x14ac:dyDescent="0.2">
      <c r="F397" s="1"/>
      <c r="N397" s="115"/>
      <c r="O397" s="22"/>
      <c r="P397" s="22"/>
      <c r="Q397" s="22"/>
      <c r="R397" s="22"/>
      <c r="S397" s="22"/>
      <c r="T397" s="115"/>
      <c r="U397" s="115"/>
      <c r="V397" s="22"/>
      <c r="W397" s="22"/>
      <c r="X397" s="22"/>
      <c r="Y397" s="22"/>
      <c r="Z397" s="22"/>
      <c r="AA397" s="115"/>
      <c r="AB397" s="115"/>
      <c r="AC397" s="22"/>
      <c r="AD397" s="22"/>
      <c r="AE397" s="22"/>
      <c r="AF397" s="22"/>
      <c r="AG397" s="22"/>
      <c r="AH397" s="115"/>
    </row>
    <row r="398" spans="6:34" x14ac:dyDescent="0.2">
      <c r="F398" s="1"/>
      <c r="N398" s="115"/>
      <c r="O398" s="22"/>
      <c r="P398" s="22"/>
      <c r="Q398" s="22"/>
      <c r="R398" s="22"/>
      <c r="S398" s="22"/>
      <c r="T398" s="115"/>
      <c r="U398" s="115"/>
      <c r="V398" s="22"/>
      <c r="W398" s="22"/>
      <c r="X398" s="22"/>
      <c r="Y398" s="22"/>
      <c r="Z398" s="22"/>
      <c r="AA398" s="115"/>
      <c r="AB398" s="115"/>
      <c r="AC398" s="22"/>
      <c r="AD398" s="22"/>
      <c r="AE398" s="22"/>
      <c r="AF398" s="22"/>
      <c r="AG398" s="22"/>
      <c r="AH398" s="115"/>
    </row>
    <row r="399" spans="6:34" x14ac:dyDescent="0.2">
      <c r="F399" s="1"/>
      <c r="N399" s="115"/>
      <c r="O399" s="22"/>
      <c r="P399" s="22"/>
      <c r="Q399" s="22"/>
      <c r="R399" s="22"/>
      <c r="S399" s="22"/>
      <c r="T399" s="115"/>
      <c r="U399" s="115"/>
      <c r="V399" s="22"/>
      <c r="W399" s="22"/>
      <c r="X399" s="22"/>
      <c r="Y399" s="22"/>
      <c r="Z399" s="22"/>
      <c r="AA399" s="115"/>
      <c r="AB399" s="115"/>
      <c r="AC399" s="22"/>
      <c r="AD399" s="22"/>
      <c r="AE399" s="22"/>
      <c r="AF399" s="22"/>
      <c r="AG399" s="22"/>
      <c r="AH399" s="115"/>
    </row>
    <row r="400" spans="6:34" x14ac:dyDescent="0.2">
      <c r="F400" s="1"/>
      <c r="N400" s="115"/>
      <c r="O400" s="22"/>
      <c r="P400" s="22"/>
      <c r="Q400" s="22"/>
      <c r="R400" s="22"/>
      <c r="S400" s="22"/>
      <c r="T400" s="115"/>
      <c r="U400" s="115"/>
      <c r="V400" s="22"/>
      <c r="W400" s="22"/>
      <c r="X400" s="22"/>
      <c r="Y400" s="22"/>
      <c r="Z400" s="22"/>
      <c r="AA400" s="115"/>
      <c r="AB400" s="115"/>
      <c r="AC400" s="22"/>
      <c r="AD400" s="22"/>
      <c r="AE400" s="22"/>
      <c r="AF400" s="22"/>
      <c r="AG400" s="22"/>
      <c r="AH400" s="115"/>
    </row>
    <row r="401" spans="6:34" x14ac:dyDescent="0.2">
      <c r="F401" s="1"/>
      <c r="N401" s="115"/>
      <c r="O401" s="22"/>
      <c r="P401" s="22"/>
      <c r="Q401" s="22"/>
      <c r="R401" s="22"/>
      <c r="S401" s="22"/>
      <c r="T401" s="115"/>
      <c r="U401" s="115"/>
      <c r="V401" s="22"/>
      <c r="W401" s="22"/>
      <c r="X401" s="22"/>
      <c r="Y401" s="22"/>
      <c r="Z401" s="22"/>
      <c r="AA401" s="115"/>
      <c r="AB401" s="115"/>
      <c r="AC401" s="22"/>
      <c r="AD401" s="22"/>
      <c r="AE401" s="22"/>
      <c r="AF401" s="22"/>
      <c r="AG401" s="22"/>
      <c r="AH401" s="115"/>
    </row>
    <row r="402" spans="6:34" x14ac:dyDescent="0.2">
      <c r="F402" s="1"/>
      <c r="N402" s="115"/>
      <c r="O402" s="22"/>
      <c r="P402" s="22"/>
      <c r="Q402" s="22"/>
      <c r="R402" s="22"/>
      <c r="S402" s="22"/>
      <c r="T402" s="115"/>
      <c r="U402" s="115"/>
      <c r="V402" s="22"/>
      <c r="W402" s="22"/>
      <c r="X402" s="22"/>
      <c r="Y402" s="22"/>
      <c r="Z402" s="22"/>
      <c r="AA402" s="115"/>
      <c r="AB402" s="115"/>
      <c r="AC402" s="22"/>
      <c r="AD402" s="22"/>
      <c r="AE402" s="22"/>
      <c r="AF402" s="22"/>
      <c r="AG402" s="22"/>
      <c r="AH402" s="115"/>
    </row>
    <row r="403" spans="6:34" x14ac:dyDescent="0.2">
      <c r="F403" s="1"/>
      <c r="N403" s="115"/>
      <c r="O403" s="22"/>
      <c r="P403" s="22"/>
      <c r="Q403" s="22"/>
      <c r="R403" s="22"/>
      <c r="S403" s="22"/>
      <c r="T403" s="115"/>
      <c r="U403" s="115"/>
      <c r="V403" s="22"/>
      <c r="W403" s="22"/>
      <c r="X403" s="22"/>
      <c r="Y403" s="22"/>
      <c r="Z403" s="22"/>
      <c r="AA403" s="115"/>
      <c r="AB403" s="115"/>
      <c r="AC403" s="22"/>
      <c r="AD403" s="22"/>
      <c r="AE403" s="22"/>
      <c r="AF403" s="22"/>
      <c r="AG403" s="22"/>
      <c r="AH403" s="115"/>
    </row>
    <row r="404" spans="6:34" x14ac:dyDescent="0.2">
      <c r="F404" s="1"/>
      <c r="N404" s="115"/>
      <c r="O404" s="22"/>
      <c r="P404" s="22"/>
      <c r="Q404" s="22"/>
      <c r="R404" s="22"/>
      <c r="S404" s="22"/>
      <c r="T404" s="115"/>
      <c r="U404" s="115"/>
      <c r="V404" s="22"/>
      <c r="W404" s="22"/>
      <c r="X404" s="22"/>
      <c r="Y404" s="22"/>
      <c r="Z404" s="22"/>
      <c r="AA404" s="115"/>
      <c r="AB404" s="115"/>
      <c r="AC404" s="22"/>
      <c r="AD404" s="22"/>
      <c r="AE404" s="22"/>
      <c r="AF404" s="22"/>
      <c r="AG404" s="22"/>
      <c r="AH404" s="115"/>
    </row>
    <row r="405" spans="6:34" x14ac:dyDescent="0.2">
      <c r="F405" s="1"/>
      <c r="N405" s="115"/>
      <c r="O405" s="22"/>
      <c r="P405" s="22"/>
      <c r="Q405" s="22"/>
      <c r="R405" s="22"/>
      <c r="S405" s="22"/>
      <c r="T405" s="115"/>
      <c r="U405" s="115"/>
      <c r="V405" s="22"/>
      <c r="W405" s="22"/>
      <c r="X405" s="22"/>
      <c r="Y405" s="22"/>
      <c r="Z405" s="22"/>
      <c r="AA405" s="115"/>
      <c r="AB405" s="115"/>
      <c r="AC405" s="22"/>
      <c r="AD405" s="22"/>
      <c r="AE405" s="22"/>
      <c r="AF405" s="22"/>
      <c r="AG405" s="22"/>
      <c r="AH405" s="115"/>
    </row>
    <row r="406" spans="6:34" x14ac:dyDescent="0.2">
      <c r="F406" s="1"/>
      <c r="N406" s="115"/>
      <c r="O406" s="22"/>
      <c r="P406" s="22"/>
      <c r="Q406" s="22"/>
      <c r="R406" s="22"/>
      <c r="S406" s="22"/>
      <c r="T406" s="115"/>
      <c r="U406" s="115"/>
      <c r="V406" s="22"/>
      <c r="W406" s="22"/>
      <c r="X406" s="22"/>
      <c r="Y406" s="22"/>
      <c r="Z406" s="22"/>
      <c r="AA406" s="115"/>
      <c r="AB406" s="115"/>
      <c r="AC406" s="22"/>
      <c r="AD406" s="22"/>
      <c r="AE406" s="22"/>
      <c r="AF406" s="22"/>
      <c r="AG406" s="22"/>
      <c r="AH406" s="115"/>
    </row>
    <row r="407" spans="6:34" x14ac:dyDescent="0.2">
      <c r="F407" s="1"/>
      <c r="N407" s="115"/>
      <c r="O407" s="22"/>
      <c r="P407" s="22"/>
      <c r="Q407" s="22"/>
      <c r="R407" s="22"/>
      <c r="S407" s="22"/>
      <c r="T407" s="115"/>
      <c r="U407" s="115"/>
      <c r="V407" s="22"/>
      <c r="W407" s="22"/>
      <c r="X407" s="22"/>
      <c r="Y407" s="22"/>
      <c r="Z407" s="22"/>
      <c r="AA407" s="115"/>
      <c r="AB407" s="115"/>
      <c r="AC407" s="22"/>
      <c r="AD407" s="22"/>
      <c r="AE407" s="22"/>
      <c r="AF407" s="22"/>
      <c r="AG407" s="22"/>
      <c r="AH407" s="115"/>
    </row>
    <row r="408" spans="6:34" x14ac:dyDescent="0.2">
      <c r="F408" s="1"/>
      <c r="N408" s="115"/>
      <c r="O408" s="22"/>
      <c r="P408" s="22"/>
      <c r="Q408" s="22"/>
      <c r="R408" s="22"/>
      <c r="S408" s="22"/>
      <c r="T408" s="115"/>
      <c r="U408" s="115"/>
      <c r="V408" s="22"/>
      <c r="W408" s="22"/>
      <c r="X408" s="22"/>
      <c r="Y408" s="22"/>
      <c r="Z408" s="22"/>
      <c r="AA408" s="115"/>
      <c r="AB408" s="115"/>
      <c r="AC408" s="22"/>
      <c r="AD408" s="22"/>
      <c r="AE408" s="22"/>
      <c r="AF408" s="22"/>
      <c r="AG408" s="22"/>
      <c r="AH408" s="115"/>
    </row>
    <row r="409" spans="6:34" x14ac:dyDescent="0.2">
      <c r="F409" s="1"/>
      <c r="N409" s="115"/>
      <c r="O409" s="22"/>
      <c r="P409" s="22"/>
      <c r="Q409" s="22"/>
      <c r="R409" s="22"/>
      <c r="S409" s="22"/>
      <c r="T409" s="115"/>
      <c r="U409" s="115"/>
      <c r="V409" s="22"/>
      <c r="W409" s="22"/>
      <c r="X409" s="22"/>
      <c r="Y409" s="22"/>
      <c r="Z409" s="22"/>
      <c r="AA409" s="115"/>
      <c r="AB409" s="115"/>
      <c r="AC409" s="22"/>
      <c r="AD409" s="22"/>
      <c r="AE409" s="22"/>
      <c r="AF409" s="22"/>
      <c r="AG409" s="22"/>
      <c r="AH409" s="115"/>
    </row>
    <row r="410" spans="6:34" x14ac:dyDescent="0.2">
      <c r="F410" s="1"/>
      <c r="N410" s="115"/>
      <c r="O410" s="22"/>
      <c r="P410" s="22"/>
      <c r="Q410" s="22"/>
      <c r="R410" s="22"/>
      <c r="S410" s="22"/>
      <c r="T410" s="115"/>
      <c r="U410" s="115"/>
      <c r="V410" s="22"/>
      <c r="W410" s="22"/>
      <c r="X410" s="22"/>
      <c r="Y410" s="22"/>
      <c r="Z410" s="22"/>
      <c r="AA410" s="115"/>
      <c r="AB410" s="115"/>
      <c r="AC410" s="22"/>
      <c r="AD410" s="22"/>
      <c r="AE410" s="22"/>
      <c r="AF410" s="22"/>
      <c r="AG410" s="22"/>
      <c r="AH410" s="115"/>
    </row>
    <row r="411" spans="6:34" x14ac:dyDescent="0.2">
      <c r="F411" s="1"/>
      <c r="N411" s="115"/>
      <c r="O411" s="22"/>
      <c r="P411" s="22"/>
      <c r="Q411" s="22"/>
      <c r="R411" s="22"/>
      <c r="S411" s="22"/>
      <c r="T411" s="115"/>
      <c r="U411" s="115"/>
      <c r="V411" s="22"/>
      <c r="W411" s="22"/>
      <c r="X411" s="22"/>
      <c r="Y411" s="22"/>
      <c r="Z411" s="22"/>
      <c r="AA411" s="115"/>
      <c r="AB411" s="115"/>
      <c r="AC411" s="22"/>
      <c r="AD411" s="22"/>
      <c r="AE411" s="22"/>
      <c r="AF411" s="22"/>
      <c r="AG411" s="22"/>
      <c r="AH411" s="115"/>
    </row>
    <row r="412" spans="6:34" x14ac:dyDescent="0.2">
      <c r="F412" s="1"/>
      <c r="N412" s="115"/>
      <c r="O412" s="22"/>
      <c r="P412" s="22"/>
      <c r="Q412" s="22"/>
      <c r="R412" s="22"/>
      <c r="S412" s="22"/>
      <c r="T412" s="115"/>
      <c r="U412" s="115"/>
      <c r="V412" s="22"/>
      <c r="W412" s="22"/>
      <c r="X412" s="22"/>
      <c r="Y412" s="22"/>
      <c r="Z412" s="22"/>
      <c r="AA412" s="115"/>
      <c r="AB412" s="115"/>
      <c r="AC412" s="22"/>
      <c r="AD412" s="22"/>
      <c r="AE412" s="22"/>
      <c r="AF412" s="22"/>
      <c r="AG412" s="22"/>
      <c r="AH412" s="115"/>
    </row>
    <row r="413" spans="6:34" x14ac:dyDescent="0.2">
      <c r="F413" s="1"/>
      <c r="N413" s="115"/>
      <c r="O413" s="22"/>
      <c r="P413" s="22"/>
      <c r="Q413" s="22"/>
      <c r="R413" s="22"/>
      <c r="S413" s="22"/>
      <c r="T413" s="115"/>
      <c r="U413" s="115"/>
      <c r="V413" s="22"/>
      <c r="W413" s="22"/>
      <c r="X413" s="22"/>
      <c r="Y413" s="22"/>
      <c r="Z413" s="22"/>
      <c r="AA413" s="115"/>
      <c r="AB413" s="115"/>
      <c r="AC413" s="22"/>
      <c r="AD413" s="22"/>
      <c r="AE413" s="22"/>
      <c r="AF413" s="22"/>
      <c r="AG413" s="22"/>
      <c r="AH413" s="115"/>
    </row>
    <row r="414" spans="6:34" x14ac:dyDescent="0.2">
      <c r="F414" s="1"/>
      <c r="N414" s="115"/>
      <c r="O414" s="22"/>
      <c r="P414" s="22"/>
      <c r="Q414" s="22"/>
      <c r="R414" s="22"/>
      <c r="S414" s="22"/>
      <c r="T414" s="115"/>
      <c r="U414" s="115"/>
      <c r="V414" s="22"/>
      <c r="W414" s="22"/>
      <c r="X414" s="22"/>
      <c r="Y414" s="22"/>
      <c r="Z414" s="22"/>
      <c r="AA414" s="115"/>
      <c r="AB414" s="115"/>
      <c r="AC414" s="22"/>
      <c r="AD414" s="22"/>
      <c r="AE414" s="22"/>
      <c r="AF414" s="22"/>
      <c r="AG414" s="22"/>
      <c r="AH414" s="115"/>
    </row>
    <row r="415" spans="6:34" x14ac:dyDescent="0.2">
      <c r="F415" s="1"/>
      <c r="N415" s="115"/>
      <c r="O415" s="22"/>
      <c r="P415" s="22"/>
      <c r="Q415" s="22"/>
      <c r="R415" s="22"/>
      <c r="S415" s="22"/>
      <c r="T415" s="115"/>
      <c r="U415" s="115"/>
      <c r="V415" s="22"/>
      <c r="W415" s="22"/>
      <c r="X415" s="22"/>
      <c r="Y415" s="22"/>
      <c r="Z415" s="22"/>
      <c r="AA415" s="115"/>
      <c r="AB415" s="115"/>
      <c r="AC415" s="22"/>
      <c r="AD415" s="22"/>
      <c r="AE415" s="22"/>
      <c r="AF415" s="22"/>
      <c r="AG415" s="22"/>
      <c r="AH415" s="115"/>
    </row>
    <row r="416" spans="6:34" x14ac:dyDescent="0.2">
      <c r="F416" s="1"/>
      <c r="N416" s="115"/>
      <c r="O416" s="22"/>
      <c r="P416" s="22"/>
      <c r="Q416" s="22"/>
      <c r="R416" s="22"/>
      <c r="S416" s="22"/>
      <c r="T416" s="115"/>
      <c r="U416" s="115"/>
      <c r="V416" s="22"/>
      <c r="W416" s="22"/>
      <c r="X416" s="22"/>
      <c r="Y416" s="22"/>
      <c r="Z416" s="22"/>
      <c r="AA416" s="115"/>
      <c r="AB416" s="115"/>
      <c r="AC416" s="22"/>
      <c r="AD416" s="22"/>
      <c r="AE416" s="22"/>
      <c r="AF416" s="22"/>
      <c r="AG416" s="22"/>
      <c r="AH416" s="115"/>
    </row>
    <row r="417" spans="6:34" x14ac:dyDescent="0.2">
      <c r="F417" s="1"/>
      <c r="N417" s="115"/>
      <c r="O417" s="22"/>
      <c r="P417" s="22"/>
      <c r="Q417" s="22"/>
      <c r="R417" s="22"/>
      <c r="S417" s="22"/>
      <c r="T417" s="115"/>
      <c r="U417" s="115"/>
      <c r="V417" s="22"/>
      <c r="W417" s="22"/>
      <c r="X417" s="22"/>
      <c r="Y417" s="22"/>
      <c r="Z417" s="22"/>
      <c r="AA417" s="115"/>
      <c r="AB417" s="115"/>
      <c r="AC417" s="22"/>
      <c r="AD417" s="22"/>
      <c r="AE417" s="22"/>
      <c r="AF417" s="22"/>
      <c r="AG417" s="22"/>
      <c r="AH417" s="115"/>
    </row>
    <row r="418" spans="6:34" x14ac:dyDescent="0.2">
      <c r="F418" s="1"/>
      <c r="N418" s="115"/>
      <c r="O418" s="22"/>
      <c r="P418" s="22"/>
      <c r="Q418" s="22"/>
      <c r="R418" s="22"/>
      <c r="S418" s="22"/>
      <c r="T418" s="115"/>
      <c r="U418" s="115"/>
      <c r="V418" s="22"/>
      <c r="W418" s="22"/>
      <c r="X418" s="22"/>
      <c r="Y418" s="22"/>
      <c r="Z418" s="22"/>
      <c r="AA418" s="115"/>
      <c r="AB418" s="115"/>
      <c r="AC418" s="22"/>
      <c r="AD418" s="22"/>
      <c r="AE418" s="22"/>
      <c r="AF418" s="22"/>
      <c r="AG418" s="22"/>
      <c r="AH418" s="115"/>
    </row>
    <row r="419" spans="6:34" x14ac:dyDescent="0.2">
      <c r="F419" s="1"/>
      <c r="N419" s="115"/>
      <c r="O419" s="22"/>
      <c r="P419" s="22"/>
      <c r="Q419" s="22"/>
      <c r="R419" s="22"/>
      <c r="S419" s="22"/>
      <c r="T419" s="115"/>
      <c r="U419" s="115"/>
      <c r="V419" s="22"/>
      <c r="W419" s="22"/>
      <c r="X419" s="22"/>
      <c r="Y419" s="22"/>
      <c r="Z419" s="22"/>
      <c r="AA419" s="115"/>
      <c r="AB419" s="115"/>
      <c r="AC419" s="22"/>
      <c r="AD419" s="22"/>
      <c r="AE419" s="22"/>
      <c r="AF419" s="22"/>
      <c r="AG419" s="22"/>
      <c r="AH419" s="115"/>
    </row>
    <row r="420" spans="6:34" x14ac:dyDescent="0.2">
      <c r="F420" s="1"/>
      <c r="N420" s="115"/>
      <c r="O420" s="22"/>
      <c r="P420" s="22"/>
      <c r="Q420" s="22"/>
      <c r="R420" s="22"/>
      <c r="S420" s="22"/>
      <c r="T420" s="115"/>
      <c r="U420" s="115"/>
      <c r="V420" s="22"/>
      <c r="W420" s="22"/>
      <c r="X420" s="22"/>
      <c r="Y420" s="22"/>
      <c r="Z420" s="22"/>
      <c r="AA420" s="115"/>
      <c r="AB420" s="115"/>
      <c r="AC420" s="22"/>
      <c r="AD420" s="22"/>
      <c r="AE420" s="22"/>
      <c r="AF420" s="22"/>
      <c r="AG420" s="22"/>
      <c r="AH420" s="115"/>
    </row>
    <row r="421" spans="6:34" x14ac:dyDescent="0.2">
      <c r="F421" s="1"/>
      <c r="N421" s="115"/>
      <c r="O421" s="22"/>
      <c r="P421" s="22"/>
      <c r="Q421" s="22"/>
      <c r="R421" s="22"/>
      <c r="S421" s="22"/>
      <c r="T421" s="115"/>
      <c r="U421" s="115"/>
      <c r="V421" s="22"/>
      <c r="W421" s="22"/>
      <c r="X421" s="22"/>
      <c r="Y421" s="22"/>
      <c r="Z421" s="22"/>
      <c r="AA421" s="115"/>
      <c r="AB421" s="115"/>
      <c r="AC421" s="22"/>
      <c r="AD421" s="22"/>
      <c r="AE421" s="22"/>
      <c r="AF421" s="22"/>
      <c r="AG421" s="22"/>
      <c r="AH421" s="115"/>
    </row>
    <row r="422" spans="6:34" x14ac:dyDescent="0.2">
      <c r="F422" s="1"/>
      <c r="N422" s="115"/>
      <c r="O422" s="22"/>
      <c r="P422" s="22"/>
      <c r="Q422" s="22"/>
      <c r="R422" s="22"/>
      <c r="S422" s="22"/>
      <c r="T422" s="115"/>
      <c r="U422" s="115"/>
      <c r="V422" s="22"/>
      <c r="W422" s="22"/>
      <c r="X422" s="22"/>
      <c r="Y422" s="22"/>
      <c r="Z422" s="22"/>
      <c r="AA422" s="115"/>
      <c r="AB422" s="115"/>
      <c r="AC422" s="22"/>
      <c r="AD422" s="22"/>
      <c r="AE422" s="22"/>
      <c r="AF422" s="22"/>
      <c r="AG422" s="22"/>
      <c r="AH422" s="115"/>
    </row>
    <row r="423" spans="6:34" x14ac:dyDescent="0.2">
      <c r="F423" s="1"/>
      <c r="N423" s="115"/>
      <c r="O423" s="22"/>
      <c r="P423" s="22"/>
      <c r="Q423" s="22"/>
      <c r="R423" s="22"/>
      <c r="S423" s="22"/>
      <c r="T423" s="115"/>
      <c r="U423" s="115"/>
      <c r="V423" s="22"/>
      <c r="W423" s="22"/>
      <c r="X423" s="22"/>
      <c r="Y423" s="22"/>
      <c r="Z423" s="22"/>
      <c r="AA423" s="115"/>
      <c r="AB423" s="115"/>
      <c r="AC423" s="22"/>
      <c r="AD423" s="22"/>
      <c r="AE423" s="22"/>
      <c r="AF423" s="22"/>
      <c r="AG423" s="22"/>
      <c r="AH423" s="115"/>
    </row>
    <row r="424" spans="6:34" x14ac:dyDescent="0.2">
      <c r="F424" s="1"/>
      <c r="N424" s="115"/>
      <c r="O424" s="22"/>
      <c r="P424" s="22"/>
      <c r="Q424" s="22"/>
      <c r="R424" s="22"/>
      <c r="S424" s="22"/>
      <c r="T424" s="115"/>
      <c r="U424" s="115"/>
      <c r="V424" s="22"/>
      <c r="W424" s="22"/>
      <c r="X424" s="22"/>
      <c r="Y424" s="22"/>
      <c r="Z424" s="22"/>
      <c r="AA424" s="115"/>
      <c r="AB424" s="115"/>
      <c r="AC424" s="22"/>
      <c r="AD424" s="22"/>
      <c r="AE424" s="22"/>
      <c r="AF424" s="22"/>
      <c r="AG424" s="22"/>
      <c r="AH424" s="115"/>
    </row>
    <row r="425" spans="6:34" x14ac:dyDescent="0.2">
      <c r="F425" s="1"/>
      <c r="N425" s="115"/>
      <c r="O425" s="22"/>
      <c r="P425" s="22"/>
      <c r="Q425" s="22"/>
      <c r="R425" s="22"/>
      <c r="S425" s="22"/>
      <c r="T425" s="115"/>
      <c r="U425" s="115"/>
      <c r="V425" s="22"/>
      <c r="W425" s="22"/>
      <c r="X425" s="22"/>
      <c r="Y425" s="22"/>
      <c r="Z425" s="22"/>
      <c r="AA425" s="115"/>
      <c r="AB425" s="115"/>
      <c r="AC425" s="22"/>
      <c r="AD425" s="22"/>
      <c r="AE425" s="22"/>
      <c r="AF425" s="22"/>
      <c r="AG425" s="22"/>
      <c r="AH425" s="115"/>
    </row>
    <row r="426" spans="6:34" x14ac:dyDescent="0.2">
      <c r="F426" s="1"/>
      <c r="N426" s="115"/>
      <c r="O426" s="22"/>
      <c r="P426" s="22"/>
      <c r="Q426" s="22"/>
      <c r="R426" s="22"/>
      <c r="S426" s="22"/>
      <c r="T426" s="115"/>
      <c r="U426" s="115"/>
      <c r="V426" s="22"/>
      <c r="W426" s="22"/>
      <c r="X426" s="22"/>
      <c r="Y426" s="22"/>
      <c r="Z426" s="22"/>
      <c r="AA426" s="115"/>
      <c r="AB426" s="115"/>
      <c r="AC426" s="22"/>
      <c r="AD426" s="22"/>
      <c r="AE426" s="22"/>
      <c r="AF426" s="22"/>
      <c r="AG426" s="22"/>
      <c r="AH426" s="115"/>
    </row>
    <row r="427" spans="6:34" x14ac:dyDescent="0.2">
      <c r="F427" s="1"/>
      <c r="N427" s="115"/>
      <c r="O427" s="22"/>
      <c r="P427" s="22"/>
      <c r="Q427" s="22"/>
      <c r="R427" s="22"/>
      <c r="S427" s="22"/>
      <c r="T427" s="115"/>
      <c r="U427" s="115"/>
      <c r="V427" s="22"/>
      <c r="W427" s="22"/>
      <c r="X427" s="22"/>
      <c r="Y427" s="22"/>
      <c r="Z427" s="22"/>
      <c r="AA427" s="115"/>
      <c r="AB427" s="115"/>
      <c r="AC427" s="22"/>
      <c r="AD427" s="22"/>
      <c r="AE427" s="22"/>
      <c r="AF427" s="22"/>
      <c r="AG427" s="22"/>
      <c r="AH427" s="115"/>
    </row>
    <row r="428" spans="6:34" x14ac:dyDescent="0.2">
      <c r="F428" s="1"/>
      <c r="N428" s="115"/>
      <c r="O428" s="22"/>
      <c r="P428" s="22"/>
      <c r="Q428" s="22"/>
      <c r="R428" s="22"/>
      <c r="S428" s="22"/>
      <c r="T428" s="115"/>
      <c r="U428" s="115"/>
      <c r="V428" s="22"/>
      <c r="W428" s="22"/>
      <c r="X428" s="22"/>
      <c r="Y428" s="22"/>
      <c r="Z428" s="22"/>
      <c r="AA428" s="115"/>
      <c r="AB428" s="115"/>
      <c r="AC428" s="22"/>
      <c r="AD428" s="22"/>
      <c r="AE428" s="22"/>
      <c r="AF428" s="22"/>
      <c r="AG428" s="22"/>
      <c r="AH428" s="115"/>
    </row>
    <row r="429" spans="6:34" x14ac:dyDescent="0.2">
      <c r="F429" s="1"/>
      <c r="N429" s="115"/>
      <c r="O429" s="22"/>
      <c r="P429" s="22"/>
      <c r="Q429" s="22"/>
      <c r="R429" s="22"/>
      <c r="S429" s="22"/>
      <c r="T429" s="115"/>
      <c r="U429" s="115"/>
      <c r="V429" s="22"/>
      <c r="W429" s="22"/>
      <c r="X429" s="22"/>
      <c r="Y429" s="22"/>
      <c r="Z429" s="22"/>
      <c r="AA429" s="115"/>
      <c r="AB429" s="115"/>
      <c r="AC429" s="22"/>
      <c r="AD429" s="22"/>
      <c r="AE429" s="22"/>
      <c r="AF429" s="22"/>
      <c r="AG429" s="22"/>
      <c r="AH429" s="115"/>
    </row>
    <row r="430" spans="6:34" x14ac:dyDescent="0.2">
      <c r="F430" s="1"/>
      <c r="N430" s="115"/>
      <c r="O430" s="22"/>
      <c r="P430" s="22"/>
      <c r="Q430" s="22"/>
      <c r="R430" s="22"/>
      <c r="S430" s="22"/>
      <c r="T430" s="115"/>
      <c r="U430" s="115"/>
      <c r="V430" s="22"/>
      <c r="W430" s="22"/>
      <c r="X430" s="22"/>
      <c r="Y430" s="22"/>
      <c r="Z430" s="22"/>
      <c r="AA430" s="115"/>
      <c r="AB430" s="115"/>
      <c r="AC430" s="22"/>
      <c r="AD430" s="22"/>
      <c r="AE430" s="22"/>
      <c r="AF430" s="22"/>
      <c r="AG430" s="22"/>
      <c r="AH430" s="115"/>
    </row>
    <row r="431" spans="6:34" x14ac:dyDescent="0.2">
      <c r="F431" s="1"/>
      <c r="N431" s="115"/>
      <c r="O431" s="22"/>
      <c r="P431" s="22"/>
      <c r="Q431" s="22"/>
      <c r="R431" s="22"/>
      <c r="S431" s="22"/>
      <c r="T431" s="115"/>
      <c r="U431" s="115"/>
      <c r="V431" s="22"/>
      <c r="W431" s="22"/>
      <c r="X431" s="22"/>
      <c r="Y431" s="22"/>
      <c r="Z431" s="22"/>
      <c r="AA431" s="115"/>
      <c r="AB431" s="115"/>
      <c r="AC431" s="22"/>
      <c r="AD431" s="22"/>
      <c r="AE431" s="22"/>
      <c r="AF431" s="22"/>
      <c r="AG431" s="22"/>
      <c r="AH431" s="115"/>
    </row>
    <row r="432" spans="6:34" x14ac:dyDescent="0.2">
      <c r="F432" s="1"/>
      <c r="N432" s="115"/>
      <c r="O432" s="22"/>
      <c r="P432" s="22"/>
      <c r="Q432" s="22"/>
      <c r="R432" s="22"/>
      <c r="S432" s="22"/>
      <c r="T432" s="115"/>
      <c r="U432" s="115"/>
      <c r="V432" s="22"/>
      <c r="W432" s="22"/>
      <c r="X432" s="22"/>
      <c r="Y432" s="22"/>
      <c r="Z432" s="22"/>
      <c r="AA432" s="115"/>
      <c r="AB432" s="115"/>
      <c r="AC432" s="22"/>
      <c r="AD432" s="22"/>
      <c r="AE432" s="22"/>
      <c r="AF432" s="22"/>
      <c r="AG432" s="22"/>
      <c r="AH432" s="115"/>
    </row>
    <row r="433" spans="6:34" x14ac:dyDescent="0.2">
      <c r="F433" s="1"/>
      <c r="N433" s="115"/>
      <c r="O433" s="22"/>
      <c r="P433" s="22"/>
      <c r="Q433" s="22"/>
      <c r="R433" s="22"/>
      <c r="S433" s="22"/>
      <c r="T433" s="115"/>
      <c r="U433" s="115"/>
      <c r="V433" s="22"/>
      <c r="W433" s="22"/>
      <c r="X433" s="22"/>
      <c r="Y433" s="22"/>
      <c r="Z433" s="22"/>
      <c r="AA433" s="115"/>
      <c r="AB433" s="115"/>
      <c r="AC433" s="22"/>
      <c r="AD433" s="22"/>
      <c r="AE433" s="22"/>
      <c r="AF433" s="22"/>
      <c r="AG433" s="22"/>
      <c r="AH433" s="115"/>
    </row>
    <row r="434" spans="6:34" x14ac:dyDescent="0.2">
      <c r="F434" s="1"/>
      <c r="N434" s="115"/>
      <c r="O434" s="22"/>
      <c r="P434" s="22"/>
      <c r="Q434" s="22"/>
      <c r="R434" s="22"/>
      <c r="S434" s="22"/>
      <c r="T434" s="115"/>
      <c r="U434" s="115"/>
      <c r="V434" s="22"/>
      <c r="W434" s="22"/>
      <c r="X434" s="22"/>
      <c r="Y434" s="22"/>
      <c r="Z434" s="22"/>
      <c r="AA434" s="115"/>
      <c r="AB434" s="115"/>
      <c r="AC434" s="22"/>
      <c r="AD434" s="22"/>
      <c r="AE434" s="22"/>
      <c r="AF434" s="22"/>
      <c r="AG434" s="22"/>
      <c r="AH434" s="115"/>
    </row>
    <row r="435" spans="6:34" x14ac:dyDescent="0.2">
      <c r="F435" s="1"/>
      <c r="N435" s="115"/>
      <c r="O435" s="22"/>
      <c r="P435" s="22"/>
      <c r="Q435" s="22"/>
      <c r="R435" s="22"/>
      <c r="S435" s="22"/>
      <c r="T435" s="115"/>
      <c r="U435" s="115"/>
      <c r="V435" s="22"/>
      <c r="W435" s="22"/>
      <c r="X435" s="22"/>
      <c r="Y435" s="22"/>
      <c r="Z435" s="22"/>
      <c r="AA435" s="115"/>
      <c r="AB435" s="115"/>
      <c r="AC435" s="22"/>
      <c r="AD435" s="22"/>
      <c r="AE435" s="22"/>
      <c r="AF435" s="22"/>
      <c r="AG435" s="22"/>
      <c r="AH435" s="115"/>
    </row>
    <row r="436" spans="6:34" x14ac:dyDescent="0.2">
      <c r="F436" s="1"/>
      <c r="N436" s="115"/>
      <c r="O436" s="22"/>
      <c r="P436" s="22"/>
      <c r="Q436" s="22"/>
      <c r="R436" s="22"/>
      <c r="S436" s="22"/>
      <c r="T436" s="115"/>
      <c r="U436" s="115"/>
      <c r="V436" s="22"/>
      <c r="W436" s="22"/>
      <c r="X436" s="22"/>
      <c r="Y436" s="22"/>
      <c r="Z436" s="22"/>
      <c r="AA436" s="115"/>
      <c r="AB436" s="115"/>
      <c r="AC436" s="22"/>
      <c r="AD436" s="22"/>
      <c r="AE436" s="22"/>
      <c r="AF436" s="22"/>
      <c r="AG436" s="22"/>
      <c r="AH436" s="115"/>
    </row>
    <row r="437" spans="6:34" x14ac:dyDescent="0.2">
      <c r="F437" s="1"/>
      <c r="N437" s="115"/>
      <c r="O437" s="22"/>
      <c r="P437" s="22"/>
      <c r="Q437" s="22"/>
      <c r="R437" s="22"/>
      <c r="S437" s="22"/>
      <c r="T437" s="115"/>
      <c r="U437" s="115"/>
      <c r="V437" s="22"/>
      <c r="W437" s="22"/>
      <c r="X437" s="22"/>
      <c r="Y437" s="22"/>
      <c r="Z437" s="22"/>
      <c r="AA437" s="115"/>
      <c r="AB437" s="115"/>
      <c r="AC437" s="22"/>
      <c r="AD437" s="22"/>
      <c r="AE437" s="22"/>
      <c r="AF437" s="22"/>
      <c r="AG437" s="22"/>
      <c r="AH437" s="115"/>
    </row>
    <row r="438" spans="6:34" x14ac:dyDescent="0.2">
      <c r="F438" s="1"/>
      <c r="N438" s="115"/>
      <c r="O438" s="22"/>
      <c r="P438" s="22"/>
      <c r="Q438" s="22"/>
      <c r="R438" s="22"/>
      <c r="S438" s="22"/>
      <c r="T438" s="115"/>
      <c r="U438" s="115"/>
      <c r="V438" s="22"/>
      <c r="W438" s="22"/>
      <c r="X438" s="22"/>
      <c r="Y438" s="22"/>
      <c r="Z438" s="22"/>
      <c r="AA438" s="115"/>
      <c r="AB438" s="115"/>
      <c r="AC438" s="22"/>
      <c r="AD438" s="22"/>
      <c r="AE438" s="22"/>
      <c r="AF438" s="22"/>
      <c r="AG438" s="22"/>
      <c r="AH438" s="115"/>
    </row>
    <row r="439" spans="6:34" x14ac:dyDescent="0.2">
      <c r="F439" s="1"/>
      <c r="N439" s="115"/>
      <c r="O439" s="22"/>
      <c r="P439" s="22"/>
      <c r="Q439" s="22"/>
      <c r="R439" s="22"/>
      <c r="S439" s="22"/>
      <c r="T439" s="115"/>
      <c r="U439" s="115"/>
      <c r="V439" s="22"/>
      <c r="W439" s="22"/>
      <c r="X439" s="22"/>
      <c r="Y439" s="22"/>
      <c r="Z439" s="22"/>
      <c r="AA439" s="115"/>
      <c r="AB439" s="115"/>
      <c r="AC439" s="22"/>
      <c r="AD439" s="22"/>
      <c r="AE439" s="22"/>
      <c r="AF439" s="22"/>
      <c r="AG439" s="22"/>
      <c r="AH439" s="115"/>
    </row>
    <row r="440" spans="6:34" x14ac:dyDescent="0.2">
      <c r="F440" s="1"/>
      <c r="N440" s="115"/>
      <c r="O440" s="22"/>
      <c r="P440" s="22"/>
      <c r="Q440" s="22"/>
      <c r="R440" s="22"/>
      <c r="S440" s="22"/>
      <c r="T440" s="115"/>
      <c r="U440" s="115"/>
      <c r="V440" s="22"/>
      <c r="W440" s="22"/>
      <c r="X440" s="22"/>
      <c r="Y440" s="22"/>
      <c r="Z440" s="22"/>
      <c r="AA440" s="115"/>
      <c r="AB440" s="115"/>
      <c r="AC440" s="22"/>
      <c r="AD440" s="22"/>
      <c r="AE440" s="22"/>
      <c r="AF440" s="22"/>
      <c r="AG440" s="22"/>
      <c r="AH440" s="115"/>
    </row>
    <row r="441" spans="6:34" x14ac:dyDescent="0.2">
      <c r="F441" s="1"/>
      <c r="N441" s="115"/>
      <c r="O441" s="22"/>
      <c r="P441" s="22"/>
      <c r="Q441" s="22"/>
      <c r="R441" s="22"/>
      <c r="S441" s="22"/>
      <c r="T441" s="115"/>
      <c r="U441" s="115"/>
      <c r="V441" s="22"/>
      <c r="W441" s="22"/>
      <c r="X441" s="22"/>
      <c r="Y441" s="22"/>
      <c r="Z441" s="22"/>
      <c r="AA441" s="115"/>
      <c r="AB441" s="115"/>
      <c r="AC441" s="22"/>
      <c r="AD441" s="22"/>
      <c r="AE441" s="22"/>
      <c r="AF441" s="22"/>
      <c r="AG441" s="22"/>
      <c r="AH441" s="115"/>
    </row>
    <row r="442" spans="6:34" x14ac:dyDescent="0.2">
      <c r="F442" s="1"/>
      <c r="N442" s="115"/>
      <c r="O442" s="22"/>
      <c r="P442" s="22"/>
      <c r="Q442" s="22"/>
      <c r="R442" s="22"/>
      <c r="S442" s="22"/>
      <c r="T442" s="115"/>
      <c r="U442" s="115"/>
      <c r="V442" s="22"/>
      <c r="W442" s="22"/>
      <c r="X442" s="22"/>
      <c r="Y442" s="22"/>
      <c r="Z442" s="22"/>
      <c r="AA442" s="115"/>
      <c r="AB442" s="115"/>
      <c r="AC442" s="22"/>
      <c r="AD442" s="22"/>
      <c r="AE442" s="22"/>
      <c r="AF442" s="22"/>
      <c r="AG442" s="22"/>
      <c r="AH442" s="115"/>
    </row>
    <row r="443" spans="6:34" x14ac:dyDescent="0.2">
      <c r="F443" s="1"/>
      <c r="N443" s="115"/>
      <c r="O443" s="22"/>
      <c r="P443" s="22"/>
      <c r="Q443" s="22"/>
      <c r="R443" s="22"/>
      <c r="S443" s="22"/>
      <c r="T443" s="115"/>
      <c r="U443" s="115"/>
      <c r="V443" s="22"/>
      <c r="W443" s="22"/>
      <c r="X443" s="22"/>
      <c r="Y443" s="22"/>
      <c r="Z443" s="22"/>
      <c r="AA443" s="115"/>
      <c r="AB443" s="115"/>
      <c r="AC443" s="22"/>
      <c r="AD443" s="22"/>
      <c r="AE443" s="22"/>
      <c r="AF443" s="22"/>
      <c r="AG443" s="22"/>
      <c r="AH443" s="115"/>
    </row>
    <row r="444" spans="6:34" x14ac:dyDescent="0.2">
      <c r="F444" s="1"/>
      <c r="N444" s="115"/>
      <c r="O444" s="22"/>
      <c r="P444" s="22"/>
      <c r="Q444" s="22"/>
      <c r="R444" s="22"/>
      <c r="S444" s="22"/>
      <c r="T444" s="115"/>
      <c r="U444" s="115"/>
      <c r="V444" s="22"/>
      <c r="W444" s="22"/>
      <c r="X444" s="22"/>
      <c r="Y444" s="22"/>
      <c r="Z444" s="22"/>
      <c r="AA444" s="115"/>
      <c r="AB444" s="115"/>
      <c r="AC444" s="22"/>
      <c r="AD444" s="22"/>
      <c r="AE444" s="22"/>
      <c r="AF444" s="22"/>
      <c r="AG444" s="22"/>
      <c r="AH444" s="115"/>
    </row>
    <row r="445" spans="6:34" x14ac:dyDescent="0.2">
      <c r="F445" s="1"/>
      <c r="N445" s="115"/>
      <c r="O445" s="22"/>
      <c r="P445" s="22"/>
      <c r="Q445" s="22"/>
      <c r="R445" s="22"/>
      <c r="S445" s="22"/>
      <c r="T445" s="115"/>
      <c r="U445" s="115"/>
      <c r="V445" s="22"/>
      <c r="W445" s="22"/>
      <c r="X445" s="22"/>
      <c r="Y445" s="22"/>
      <c r="Z445" s="22"/>
      <c r="AA445" s="115"/>
      <c r="AB445" s="115"/>
      <c r="AC445" s="22"/>
      <c r="AD445" s="22"/>
      <c r="AE445" s="22"/>
      <c r="AF445" s="22"/>
      <c r="AG445" s="22"/>
      <c r="AH445" s="115"/>
    </row>
    <row r="446" spans="6:34" x14ac:dyDescent="0.2">
      <c r="F446" s="1"/>
      <c r="N446" s="115"/>
      <c r="O446" s="22"/>
      <c r="P446" s="22"/>
      <c r="Q446" s="22"/>
      <c r="R446" s="22"/>
      <c r="S446" s="22"/>
      <c r="T446" s="115"/>
      <c r="U446" s="115"/>
      <c r="V446" s="22"/>
      <c r="W446" s="22"/>
      <c r="X446" s="22"/>
      <c r="Y446" s="22"/>
      <c r="Z446" s="22"/>
      <c r="AA446" s="115"/>
      <c r="AB446" s="115"/>
      <c r="AC446" s="22"/>
      <c r="AD446" s="22"/>
      <c r="AE446" s="22"/>
      <c r="AF446" s="22"/>
      <c r="AG446" s="22"/>
      <c r="AH446" s="115"/>
    </row>
    <row r="447" spans="6:34" x14ac:dyDescent="0.2">
      <c r="F447" s="1"/>
      <c r="N447" s="115"/>
      <c r="O447" s="22"/>
      <c r="P447" s="22"/>
      <c r="Q447" s="22"/>
      <c r="R447" s="22"/>
      <c r="S447" s="22"/>
      <c r="T447" s="115"/>
      <c r="U447" s="115"/>
      <c r="V447" s="22"/>
      <c r="W447" s="22"/>
      <c r="X447" s="22"/>
      <c r="Y447" s="22"/>
      <c r="Z447" s="22"/>
      <c r="AA447" s="115"/>
      <c r="AB447" s="115"/>
      <c r="AC447" s="22"/>
      <c r="AD447" s="22"/>
      <c r="AE447" s="22"/>
      <c r="AF447" s="22"/>
      <c r="AG447" s="22"/>
      <c r="AH447" s="115"/>
    </row>
    <row r="448" spans="6:34" x14ac:dyDescent="0.2">
      <c r="F448" s="1"/>
      <c r="N448" s="115"/>
      <c r="O448" s="22"/>
      <c r="P448" s="22"/>
      <c r="Q448" s="22"/>
      <c r="R448" s="22"/>
      <c r="S448" s="22"/>
      <c r="T448" s="115"/>
      <c r="U448" s="115"/>
      <c r="V448" s="22"/>
      <c r="W448" s="22"/>
      <c r="X448" s="22"/>
      <c r="Y448" s="22"/>
      <c r="Z448" s="22"/>
      <c r="AA448" s="115"/>
      <c r="AB448" s="115"/>
      <c r="AC448" s="22"/>
      <c r="AD448" s="22"/>
      <c r="AE448" s="22"/>
      <c r="AF448" s="22"/>
      <c r="AG448" s="22"/>
      <c r="AH448" s="115"/>
    </row>
    <row r="449" spans="6:34" x14ac:dyDescent="0.2">
      <c r="F449" s="1"/>
      <c r="N449" s="115"/>
      <c r="O449" s="22"/>
      <c r="P449" s="22"/>
      <c r="Q449" s="22"/>
      <c r="R449" s="22"/>
      <c r="S449" s="22"/>
      <c r="T449" s="115"/>
      <c r="U449" s="115"/>
      <c r="V449" s="22"/>
      <c r="W449" s="22"/>
      <c r="X449" s="22"/>
      <c r="Y449" s="22"/>
      <c r="Z449" s="22"/>
      <c r="AA449" s="115"/>
      <c r="AB449" s="115"/>
      <c r="AC449" s="22"/>
      <c r="AD449" s="22"/>
      <c r="AE449" s="22"/>
      <c r="AF449" s="22"/>
      <c r="AG449" s="22"/>
      <c r="AH449" s="115"/>
    </row>
    <row r="450" spans="6:34" x14ac:dyDescent="0.2">
      <c r="F450" s="1"/>
      <c r="N450" s="115"/>
      <c r="O450" s="22"/>
      <c r="P450" s="22"/>
      <c r="Q450" s="22"/>
      <c r="R450" s="22"/>
      <c r="S450" s="22"/>
      <c r="T450" s="115"/>
      <c r="U450" s="115"/>
      <c r="V450" s="22"/>
      <c r="W450" s="22"/>
      <c r="X450" s="22"/>
      <c r="Y450" s="22"/>
      <c r="Z450" s="22"/>
      <c r="AA450" s="115"/>
      <c r="AB450" s="115"/>
      <c r="AC450" s="22"/>
      <c r="AD450" s="22"/>
      <c r="AE450" s="22"/>
      <c r="AF450" s="22"/>
      <c r="AG450" s="22"/>
      <c r="AH450" s="115"/>
    </row>
    <row r="451" spans="6:34" x14ac:dyDescent="0.2">
      <c r="F451" s="1"/>
      <c r="N451" s="115"/>
      <c r="O451" s="22"/>
      <c r="P451" s="22"/>
      <c r="Q451" s="22"/>
      <c r="R451" s="22"/>
      <c r="S451" s="22"/>
      <c r="T451" s="115"/>
      <c r="U451" s="115"/>
      <c r="V451" s="22"/>
      <c r="W451" s="22"/>
      <c r="X451" s="22"/>
      <c r="Y451" s="22"/>
      <c r="Z451" s="22"/>
      <c r="AA451" s="115"/>
      <c r="AB451" s="115"/>
      <c r="AC451" s="22"/>
      <c r="AD451" s="22"/>
      <c r="AE451" s="22"/>
      <c r="AF451" s="22"/>
      <c r="AG451" s="22"/>
      <c r="AH451" s="115"/>
    </row>
    <row r="452" spans="6:34" x14ac:dyDescent="0.2">
      <c r="F452" s="1"/>
      <c r="N452" s="115"/>
      <c r="O452" s="22"/>
      <c r="P452" s="22"/>
      <c r="Q452" s="22"/>
      <c r="R452" s="22"/>
      <c r="S452" s="22"/>
      <c r="T452" s="115"/>
      <c r="U452" s="115"/>
      <c r="V452" s="22"/>
      <c r="W452" s="22"/>
      <c r="X452" s="22"/>
      <c r="Y452" s="22"/>
      <c r="Z452" s="22"/>
      <c r="AA452" s="115"/>
      <c r="AB452" s="115"/>
      <c r="AC452" s="22"/>
      <c r="AD452" s="22"/>
      <c r="AE452" s="22"/>
      <c r="AF452" s="22"/>
      <c r="AG452" s="22"/>
      <c r="AH452" s="115"/>
    </row>
    <row r="453" spans="6:34" x14ac:dyDescent="0.2">
      <c r="F453" s="1"/>
      <c r="N453" s="115"/>
      <c r="O453" s="22"/>
      <c r="P453" s="22"/>
      <c r="Q453" s="22"/>
      <c r="R453" s="22"/>
      <c r="S453" s="22"/>
      <c r="T453" s="115"/>
      <c r="U453" s="115"/>
      <c r="V453" s="22"/>
      <c r="W453" s="22"/>
      <c r="X453" s="22"/>
      <c r="Y453" s="22"/>
      <c r="Z453" s="22"/>
      <c r="AA453" s="115"/>
      <c r="AB453" s="115"/>
      <c r="AC453" s="22"/>
      <c r="AD453" s="22"/>
      <c r="AE453" s="22"/>
      <c r="AF453" s="22"/>
      <c r="AG453" s="22"/>
      <c r="AH453" s="115"/>
    </row>
    <row r="454" spans="6:34" x14ac:dyDescent="0.2">
      <c r="F454" s="1"/>
      <c r="N454" s="115"/>
      <c r="O454" s="22"/>
      <c r="P454" s="22"/>
      <c r="Q454" s="22"/>
      <c r="R454" s="22"/>
      <c r="S454" s="22"/>
      <c r="T454" s="115"/>
      <c r="U454" s="115"/>
      <c r="V454" s="22"/>
      <c r="W454" s="22"/>
      <c r="X454" s="22"/>
      <c r="Y454" s="22"/>
      <c r="Z454" s="22"/>
      <c r="AA454" s="115"/>
      <c r="AB454" s="115"/>
      <c r="AC454" s="22"/>
      <c r="AD454" s="22"/>
      <c r="AE454" s="22"/>
      <c r="AF454" s="22"/>
      <c r="AG454" s="22"/>
      <c r="AH454" s="115"/>
    </row>
    <row r="455" spans="6:34" x14ac:dyDescent="0.2">
      <c r="F455" s="1"/>
      <c r="N455" s="115"/>
      <c r="O455" s="22"/>
      <c r="P455" s="22"/>
      <c r="Q455" s="22"/>
      <c r="R455" s="22"/>
      <c r="S455" s="22"/>
      <c r="T455" s="115"/>
      <c r="U455" s="115"/>
      <c r="V455" s="22"/>
      <c r="W455" s="22"/>
      <c r="X455" s="22"/>
      <c r="Y455" s="22"/>
      <c r="Z455" s="22"/>
      <c r="AA455" s="115"/>
      <c r="AB455" s="115"/>
      <c r="AC455" s="22"/>
      <c r="AD455" s="22"/>
      <c r="AE455" s="22"/>
      <c r="AF455" s="22"/>
      <c r="AG455" s="22"/>
      <c r="AH455" s="115"/>
    </row>
    <row r="456" spans="6:34" x14ac:dyDescent="0.2">
      <c r="F456" s="1"/>
      <c r="N456" s="115"/>
      <c r="O456" s="22"/>
      <c r="P456" s="22"/>
      <c r="Q456" s="22"/>
      <c r="R456" s="22"/>
      <c r="S456" s="22"/>
      <c r="T456" s="115"/>
      <c r="U456" s="115"/>
      <c r="V456" s="22"/>
      <c r="W456" s="22"/>
      <c r="X456" s="22"/>
      <c r="Y456" s="22"/>
      <c r="Z456" s="22"/>
      <c r="AA456" s="115"/>
      <c r="AB456" s="115"/>
      <c r="AC456" s="22"/>
      <c r="AD456" s="22"/>
      <c r="AE456" s="22"/>
      <c r="AF456" s="22"/>
      <c r="AG456" s="22"/>
      <c r="AH456" s="115"/>
    </row>
    <row r="457" spans="6:34" x14ac:dyDescent="0.2">
      <c r="F457" s="1"/>
      <c r="N457" s="115"/>
      <c r="O457" s="22"/>
      <c r="P457" s="22"/>
      <c r="Q457" s="22"/>
      <c r="R457" s="22"/>
      <c r="S457" s="22"/>
      <c r="T457" s="115"/>
      <c r="U457" s="115"/>
      <c r="V457" s="22"/>
      <c r="W457" s="22"/>
      <c r="X457" s="22"/>
      <c r="Y457" s="22"/>
      <c r="Z457" s="22"/>
      <c r="AA457" s="115"/>
      <c r="AB457" s="115"/>
      <c r="AC457" s="22"/>
      <c r="AD457" s="22"/>
      <c r="AE457" s="22"/>
      <c r="AF457" s="22"/>
      <c r="AG457" s="22"/>
      <c r="AH457" s="115"/>
    </row>
    <row r="458" spans="6:34" x14ac:dyDescent="0.2">
      <c r="F458" s="1"/>
      <c r="N458" s="115"/>
      <c r="O458" s="22"/>
      <c r="P458" s="22"/>
      <c r="Q458" s="22"/>
      <c r="R458" s="22"/>
      <c r="S458" s="22"/>
      <c r="T458" s="115"/>
      <c r="U458" s="115"/>
      <c r="V458" s="22"/>
      <c r="W458" s="22"/>
      <c r="X458" s="22"/>
      <c r="Y458" s="22"/>
      <c r="Z458" s="22"/>
      <c r="AA458" s="115"/>
      <c r="AB458" s="115"/>
      <c r="AC458" s="22"/>
      <c r="AD458" s="22"/>
      <c r="AE458" s="22"/>
      <c r="AF458" s="22"/>
      <c r="AG458" s="22"/>
      <c r="AH458" s="115"/>
    </row>
    <row r="459" spans="6:34" x14ac:dyDescent="0.2">
      <c r="F459" s="1"/>
      <c r="N459" s="115"/>
      <c r="O459" s="22"/>
      <c r="P459" s="22"/>
      <c r="Q459" s="22"/>
      <c r="R459" s="22"/>
      <c r="S459" s="22"/>
      <c r="T459" s="115"/>
      <c r="U459" s="115"/>
      <c r="V459" s="22"/>
      <c r="W459" s="22"/>
      <c r="X459" s="22"/>
      <c r="Y459" s="22"/>
      <c r="Z459" s="22"/>
      <c r="AA459" s="115"/>
      <c r="AB459" s="115"/>
      <c r="AC459" s="22"/>
      <c r="AD459" s="22"/>
      <c r="AE459" s="22"/>
      <c r="AF459" s="22"/>
      <c r="AG459" s="22"/>
      <c r="AH459" s="115"/>
    </row>
    <row r="460" spans="6:34" x14ac:dyDescent="0.2">
      <c r="F460" s="1"/>
      <c r="N460" s="115"/>
      <c r="O460" s="22"/>
      <c r="P460" s="22"/>
      <c r="Q460" s="22"/>
      <c r="R460" s="22"/>
      <c r="S460" s="22"/>
      <c r="T460" s="115"/>
      <c r="U460" s="115"/>
      <c r="V460" s="22"/>
      <c r="W460" s="22"/>
      <c r="X460" s="22"/>
      <c r="Y460" s="22"/>
      <c r="Z460" s="22"/>
      <c r="AA460" s="115"/>
      <c r="AB460" s="115"/>
      <c r="AC460" s="22"/>
      <c r="AD460" s="22"/>
      <c r="AE460" s="22"/>
      <c r="AF460" s="22"/>
      <c r="AG460" s="22"/>
      <c r="AH460" s="115"/>
    </row>
    <row r="461" spans="6:34" x14ac:dyDescent="0.2">
      <c r="F461" s="1"/>
      <c r="N461" s="115"/>
      <c r="O461" s="22"/>
      <c r="P461" s="22"/>
      <c r="Q461" s="22"/>
      <c r="R461" s="22"/>
      <c r="S461" s="22"/>
      <c r="T461" s="115"/>
      <c r="U461" s="115"/>
      <c r="V461" s="22"/>
      <c r="W461" s="22"/>
      <c r="X461" s="22"/>
      <c r="Y461" s="22"/>
      <c r="Z461" s="22"/>
      <c r="AA461" s="115"/>
      <c r="AB461" s="115"/>
      <c r="AC461" s="22"/>
      <c r="AD461" s="22"/>
      <c r="AE461" s="22"/>
      <c r="AF461" s="22"/>
      <c r="AG461" s="22"/>
      <c r="AH461" s="115"/>
    </row>
    <row r="462" spans="6:34" x14ac:dyDescent="0.2">
      <c r="F462" s="1"/>
      <c r="N462" s="115"/>
      <c r="O462" s="22"/>
      <c r="P462" s="22"/>
      <c r="Q462" s="22"/>
      <c r="R462" s="22"/>
      <c r="S462" s="22"/>
      <c r="T462" s="115"/>
      <c r="U462" s="115"/>
      <c r="V462" s="22"/>
      <c r="W462" s="22"/>
      <c r="X462" s="22"/>
      <c r="Y462" s="22"/>
      <c r="Z462" s="22"/>
      <c r="AA462" s="115"/>
      <c r="AB462" s="115"/>
      <c r="AC462" s="22"/>
      <c r="AD462" s="22"/>
      <c r="AE462" s="22"/>
      <c r="AF462" s="22"/>
      <c r="AG462" s="22"/>
      <c r="AH462" s="115"/>
    </row>
    <row r="463" spans="6:34" x14ac:dyDescent="0.2">
      <c r="F463" s="1"/>
      <c r="N463" s="115"/>
      <c r="O463" s="22"/>
      <c r="P463" s="22"/>
      <c r="Q463" s="22"/>
      <c r="R463" s="22"/>
      <c r="S463" s="22"/>
      <c r="T463" s="115"/>
      <c r="U463" s="115"/>
      <c r="V463" s="22"/>
      <c r="W463" s="22"/>
      <c r="X463" s="22"/>
      <c r="Y463" s="22"/>
      <c r="Z463" s="22"/>
      <c r="AA463" s="115"/>
      <c r="AB463" s="115"/>
      <c r="AC463" s="22"/>
      <c r="AD463" s="22"/>
      <c r="AE463" s="22"/>
      <c r="AF463" s="22"/>
      <c r="AG463" s="22"/>
      <c r="AH463" s="115"/>
    </row>
    <row r="464" spans="6:34" x14ac:dyDescent="0.2">
      <c r="F464" s="1"/>
      <c r="N464" s="115"/>
      <c r="O464" s="22"/>
      <c r="P464" s="22"/>
      <c r="Q464" s="22"/>
      <c r="R464" s="22"/>
      <c r="S464" s="22"/>
      <c r="T464" s="115"/>
      <c r="U464" s="115"/>
      <c r="V464" s="22"/>
      <c r="W464" s="22"/>
      <c r="X464" s="22"/>
      <c r="Y464" s="22"/>
      <c r="Z464" s="22"/>
      <c r="AA464" s="115"/>
      <c r="AB464" s="115"/>
      <c r="AC464" s="22"/>
      <c r="AD464" s="22"/>
      <c r="AE464" s="22"/>
      <c r="AF464" s="22"/>
      <c r="AG464" s="22"/>
      <c r="AH464" s="115"/>
    </row>
    <row r="465" spans="6:34" x14ac:dyDescent="0.2">
      <c r="F465" s="1"/>
      <c r="N465" s="115"/>
      <c r="O465" s="22"/>
      <c r="P465" s="22"/>
      <c r="Q465" s="22"/>
      <c r="R465" s="22"/>
      <c r="S465" s="22"/>
      <c r="T465" s="115"/>
      <c r="U465" s="115"/>
      <c r="V465" s="22"/>
      <c r="W465" s="22"/>
      <c r="X465" s="22"/>
      <c r="Y465" s="22"/>
      <c r="Z465" s="22"/>
      <c r="AA465" s="115"/>
      <c r="AB465" s="115"/>
      <c r="AC465" s="22"/>
      <c r="AD465" s="22"/>
      <c r="AE465" s="22"/>
      <c r="AF465" s="22"/>
      <c r="AG465" s="22"/>
      <c r="AH465" s="115"/>
    </row>
    <row r="466" spans="6:34" x14ac:dyDescent="0.2">
      <c r="F466" s="1"/>
      <c r="N466" s="115"/>
      <c r="O466" s="22"/>
      <c r="P466" s="22"/>
      <c r="Q466" s="22"/>
      <c r="R466" s="22"/>
      <c r="S466" s="22"/>
      <c r="T466" s="115"/>
      <c r="U466" s="115"/>
      <c r="V466" s="22"/>
      <c r="W466" s="22"/>
      <c r="X466" s="22"/>
      <c r="Y466" s="22"/>
      <c r="Z466" s="22"/>
      <c r="AA466" s="115"/>
      <c r="AB466" s="115"/>
      <c r="AC466" s="22"/>
      <c r="AD466" s="22"/>
      <c r="AE466" s="22"/>
      <c r="AF466" s="22"/>
      <c r="AG466" s="22"/>
      <c r="AH466" s="115"/>
    </row>
    <row r="467" spans="6:34" x14ac:dyDescent="0.2">
      <c r="F467" s="1"/>
      <c r="N467" s="115"/>
      <c r="O467" s="22"/>
      <c r="P467" s="22"/>
      <c r="Q467" s="22"/>
      <c r="R467" s="22"/>
      <c r="S467" s="22"/>
      <c r="T467" s="115"/>
      <c r="U467" s="115"/>
      <c r="V467" s="22"/>
      <c r="W467" s="22"/>
      <c r="X467" s="22"/>
      <c r="Y467" s="22"/>
      <c r="Z467" s="22"/>
      <c r="AA467" s="115"/>
      <c r="AB467" s="115"/>
      <c r="AC467" s="22"/>
      <c r="AD467" s="22"/>
      <c r="AE467" s="22"/>
      <c r="AF467" s="22"/>
      <c r="AG467" s="22"/>
      <c r="AH467" s="115"/>
    </row>
    <row r="468" spans="6:34" x14ac:dyDescent="0.2">
      <c r="F468" s="1"/>
      <c r="N468" s="115"/>
      <c r="O468" s="22"/>
      <c r="P468" s="22"/>
      <c r="Q468" s="22"/>
      <c r="R468" s="22"/>
      <c r="S468" s="22"/>
      <c r="T468" s="115"/>
      <c r="U468" s="115"/>
      <c r="V468" s="22"/>
      <c r="W468" s="22"/>
      <c r="X468" s="22"/>
      <c r="Y468" s="22"/>
      <c r="Z468" s="22"/>
      <c r="AA468" s="115"/>
      <c r="AB468" s="115"/>
      <c r="AC468" s="22"/>
      <c r="AD468" s="22"/>
      <c r="AE468" s="22"/>
      <c r="AF468" s="22"/>
      <c r="AG468" s="22"/>
      <c r="AH468" s="115"/>
    </row>
    <row r="469" spans="6:34" x14ac:dyDescent="0.2">
      <c r="F469" s="1"/>
      <c r="N469" s="115"/>
      <c r="O469" s="22"/>
      <c r="P469" s="22"/>
      <c r="Q469" s="22"/>
      <c r="R469" s="22"/>
      <c r="S469" s="22"/>
      <c r="T469" s="115"/>
      <c r="U469" s="115"/>
      <c r="V469" s="22"/>
      <c r="W469" s="22"/>
      <c r="X469" s="22"/>
      <c r="Y469" s="22"/>
      <c r="Z469" s="22"/>
      <c r="AA469" s="115"/>
      <c r="AB469" s="115"/>
      <c r="AC469" s="22"/>
      <c r="AD469" s="22"/>
      <c r="AE469" s="22"/>
      <c r="AF469" s="22"/>
      <c r="AG469" s="22"/>
      <c r="AH469" s="115"/>
    </row>
    <row r="470" spans="6:34" x14ac:dyDescent="0.2">
      <c r="F470" s="1"/>
      <c r="N470" s="115"/>
      <c r="O470" s="22"/>
      <c r="P470" s="22"/>
      <c r="Q470" s="22"/>
      <c r="R470" s="22"/>
      <c r="S470" s="22"/>
      <c r="T470" s="115"/>
      <c r="U470" s="115"/>
      <c r="V470" s="22"/>
      <c r="W470" s="22"/>
      <c r="X470" s="22"/>
      <c r="Y470" s="22"/>
      <c r="Z470" s="22"/>
      <c r="AA470" s="115"/>
      <c r="AB470" s="115"/>
      <c r="AC470" s="22"/>
      <c r="AD470" s="22"/>
      <c r="AE470" s="22"/>
      <c r="AF470" s="22"/>
      <c r="AG470" s="22"/>
      <c r="AH470" s="115"/>
    </row>
    <row r="471" spans="6:34" x14ac:dyDescent="0.2">
      <c r="F471" s="1"/>
      <c r="N471" s="115"/>
      <c r="O471" s="22"/>
      <c r="P471" s="22"/>
      <c r="Q471" s="22"/>
      <c r="R471" s="22"/>
      <c r="S471" s="22"/>
      <c r="T471" s="115"/>
      <c r="U471" s="115"/>
      <c r="V471" s="22"/>
      <c r="W471" s="22"/>
      <c r="X471" s="22"/>
      <c r="Y471" s="22"/>
      <c r="Z471" s="22"/>
      <c r="AA471" s="115"/>
      <c r="AB471" s="115"/>
      <c r="AC471" s="22"/>
      <c r="AD471" s="22"/>
      <c r="AE471" s="22"/>
      <c r="AF471" s="22"/>
      <c r="AG471" s="22"/>
      <c r="AH471" s="115"/>
    </row>
    <row r="472" spans="6:34" x14ac:dyDescent="0.2">
      <c r="F472" s="1"/>
      <c r="N472" s="115"/>
      <c r="O472" s="22"/>
      <c r="P472" s="22"/>
      <c r="Q472" s="22"/>
      <c r="R472" s="22"/>
      <c r="S472" s="22"/>
      <c r="T472" s="115"/>
      <c r="U472" s="115"/>
      <c r="V472" s="22"/>
      <c r="W472" s="22"/>
      <c r="X472" s="22"/>
      <c r="Y472" s="22"/>
      <c r="Z472" s="22"/>
      <c r="AA472" s="115"/>
      <c r="AB472" s="115"/>
      <c r="AC472" s="22"/>
      <c r="AD472" s="22"/>
      <c r="AE472" s="22"/>
      <c r="AF472" s="22"/>
      <c r="AG472" s="22"/>
      <c r="AH472" s="115"/>
    </row>
    <row r="473" spans="6:34" x14ac:dyDescent="0.2">
      <c r="F473" s="1"/>
      <c r="N473" s="115"/>
      <c r="O473" s="22"/>
      <c r="P473" s="22"/>
      <c r="Q473" s="22"/>
      <c r="R473" s="22"/>
      <c r="S473" s="22"/>
      <c r="T473" s="115"/>
      <c r="U473" s="115"/>
      <c r="V473" s="22"/>
      <c r="W473" s="22"/>
      <c r="X473" s="22"/>
      <c r="Y473" s="22"/>
      <c r="Z473" s="22"/>
      <c r="AA473" s="115"/>
      <c r="AB473" s="115"/>
      <c r="AC473" s="22"/>
      <c r="AD473" s="22"/>
      <c r="AE473" s="22"/>
      <c r="AF473" s="22"/>
      <c r="AG473" s="22"/>
      <c r="AH473" s="115"/>
    </row>
    <row r="474" spans="6:34" x14ac:dyDescent="0.2">
      <c r="F474" s="1"/>
      <c r="N474" s="115"/>
      <c r="O474" s="22"/>
      <c r="P474" s="22"/>
      <c r="Q474" s="22"/>
      <c r="R474" s="22"/>
      <c r="S474" s="22"/>
      <c r="T474" s="115"/>
      <c r="U474" s="115"/>
      <c r="V474" s="22"/>
      <c r="W474" s="22"/>
      <c r="X474" s="22"/>
      <c r="Y474" s="22"/>
      <c r="Z474" s="22"/>
      <c r="AA474" s="115"/>
      <c r="AB474" s="115"/>
      <c r="AC474" s="22"/>
      <c r="AD474" s="22"/>
      <c r="AE474" s="22"/>
      <c r="AF474" s="22"/>
      <c r="AG474" s="22"/>
      <c r="AH474" s="115"/>
    </row>
    <row r="475" spans="6:34" x14ac:dyDescent="0.2">
      <c r="F475" s="1"/>
      <c r="N475" s="115"/>
      <c r="O475" s="22"/>
      <c r="P475" s="22"/>
      <c r="Q475" s="22"/>
      <c r="R475" s="22"/>
      <c r="S475" s="22"/>
      <c r="T475" s="115"/>
      <c r="U475" s="115"/>
      <c r="V475" s="22"/>
      <c r="W475" s="22"/>
      <c r="X475" s="22"/>
      <c r="Y475" s="22"/>
      <c r="Z475" s="22"/>
      <c r="AA475" s="115"/>
      <c r="AB475" s="115"/>
      <c r="AC475" s="22"/>
      <c r="AD475" s="22"/>
      <c r="AE475" s="22"/>
      <c r="AF475" s="22"/>
      <c r="AG475" s="22"/>
      <c r="AH475" s="115"/>
    </row>
    <row r="476" spans="6:34" x14ac:dyDescent="0.2">
      <c r="F476" s="1"/>
      <c r="N476" s="115"/>
      <c r="O476" s="22"/>
      <c r="P476" s="22"/>
      <c r="Q476" s="22"/>
      <c r="R476" s="22"/>
      <c r="S476" s="22"/>
      <c r="T476" s="115"/>
      <c r="U476" s="115"/>
      <c r="V476" s="22"/>
      <c r="W476" s="22"/>
      <c r="X476" s="22"/>
      <c r="Y476" s="22"/>
      <c r="Z476" s="22"/>
      <c r="AA476" s="115"/>
      <c r="AB476" s="115"/>
      <c r="AC476" s="22"/>
      <c r="AD476" s="22"/>
      <c r="AE476" s="22"/>
      <c r="AF476" s="22"/>
      <c r="AG476" s="22"/>
      <c r="AH476" s="115"/>
    </row>
    <row r="477" spans="6:34" x14ac:dyDescent="0.2">
      <c r="F477" s="1"/>
      <c r="N477" s="115"/>
      <c r="O477" s="22"/>
      <c r="P477" s="22"/>
      <c r="Q477" s="22"/>
      <c r="R477" s="22"/>
      <c r="S477" s="22"/>
      <c r="T477" s="115"/>
      <c r="U477" s="115"/>
      <c r="V477" s="22"/>
      <c r="W477" s="22"/>
      <c r="X477" s="22"/>
      <c r="Y477" s="22"/>
      <c r="Z477" s="22"/>
      <c r="AA477" s="115"/>
      <c r="AB477" s="115"/>
      <c r="AC477" s="22"/>
      <c r="AD477" s="22"/>
      <c r="AE477" s="22"/>
      <c r="AF477" s="22"/>
      <c r="AG477" s="22"/>
      <c r="AH477" s="115"/>
    </row>
    <row r="478" spans="6:34" x14ac:dyDescent="0.2">
      <c r="F478" s="1"/>
      <c r="N478" s="115"/>
      <c r="O478" s="22"/>
      <c r="P478" s="22"/>
      <c r="Q478" s="22"/>
      <c r="R478" s="22"/>
      <c r="S478" s="22"/>
      <c r="T478" s="115"/>
      <c r="U478" s="115"/>
      <c r="V478" s="22"/>
      <c r="W478" s="22"/>
      <c r="X478" s="22"/>
      <c r="Y478" s="22"/>
      <c r="Z478" s="22"/>
      <c r="AA478" s="115"/>
      <c r="AB478" s="115"/>
      <c r="AC478" s="22"/>
      <c r="AD478" s="22"/>
      <c r="AE478" s="22"/>
      <c r="AF478" s="22"/>
      <c r="AG478" s="22"/>
      <c r="AH478" s="115"/>
    </row>
    <row r="479" spans="6:34" x14ac:dyDescent="0.2">
      <c r="F479" s="1"/>
      <c r="N479" s="115"/>
      <c r="O479" s="22"/>
      <c r="P479" s="22"/>
      <c r="Q479" s="22"/>
      <c r="R479" s="22"/>
      <c r="S479" s="22"/>
      <c r="T479" s="115"/>
      <c r="U479" s="115"/>
      <c r="V479" s="22"/>
      <c r="W479" s="22"/>
      <c r="X479" s="22"/>
      <c r="Y479" s="22"/>
      <c r="Z479" s="22"/>
      <c r="AA479" s="115"/>
      <c r="AB479" s="115"/>
      <c r="AC479" s="22"/>
      <c r="AD479" s="22"/>
      <c r="AE479" s="22"/>
      <c r="AF479" s="22"/>
      <c r="AG479" s="22"/>
      <c r="AH479" s="115"/>
    </row>
    <row r="480" spans="6:34" x14ac:dyDescent="0.2">
      <c r="F480" s="1"/>
      <c r="N480" s="115"/>
      <c r="O480" s="22"/>
      <c r="P480" s="22"/>
      <c r="Q480" s="22"/>
      <c r="R480" s="22"/>
      <c r="S480" s="22"/>
      <c r="T480" s="115"/>
      <c r="U480" s="115"/>
      <c r="V480" s="22"/>
      <c r="W480" s="22"/>
      <c r="X480" s="22"/>
      <c r="Y480" s="22"/>
      <c r="Z480" s="22"/>
      <c r="AA480" s="115"/>
      <c r="AB480" s="115"/>
      <c r="AC480" s="22"/>
      <c r="AD480" s="22"/>
      <c r="AE480" s="22"/>
      <c r="AF480" s="22"/>
      <c r="AG480" s="22"/>
      <c r="AH480" s="115"/>
    </row>
    <row r="481" spans="6:34" x14ac:dyDescent="0.2">
      <c r="F481" s="1"/>
      <c r="N481" s="115"/>
      <c r="O481" s="22"/>
      <c r="P481" s="22"/>
      <c r="Q481" s="22"/>
      <c r="R481" s="22"/>
      <c r="S481" s="22"/>
      <c r="T481" s="115"/>
      <c r="U481" s="115"/>
      <c r="V481" s="22"/>
      <c r="W481" s="22"/>
      <c r="X481" s="22"/>
      <c r="Y481" s="22"/>
      <c r="Z481" s="22"/>
      <c r="AA481" s="115"/>
      <c r="AB481" s="115"/>
      <c r="AC481" s="22"/>
      <c r="AD481" s="22"/>
      <c r="AE481" s="22"/>
      <c r="AF481" s="22"/>
      <c r="AG481" s="22"/>
      <c r="AH481" s="115"/>
    </row>
    <row r="482" spans="6:34" x14ac:dyDescent="0.2">
      <c r="F482" s="1"/>
      <c r="N482" s="115"/>
      <c r="O482" s="22"/>
      <c r="P482" s="22"/>
      <c r="Q482" s="22"/>
      <c r="R482" s="22"/>
      <c r="S482" s="22"/>
      <c r="T482" s="115"/>
      <c r="U482" s="115"/>
      <c r="V482" s="22"/>
      <c r="W482" s="22"/>
      <c r="X482" s="22"/>
      <c r="Y482" s="22"/>
      <c r="Z482" s="22"/>
      <c r="AA482" s="115"/>
      <c r="AB482" s="115"/>
      <c r="AC482" s="22"/>
      <c r="AD482" s="22"/>
      <c r="AE482" s="22"/>
      <c r="AF482" s="22"/>
      <c r="AG482" s="22"/>
      <c r="AH482" s="115"/>
    </row>
    <row r="483" spans="6:34" x14ac:dyDescent="0.2">
      <c r="F483" s="1"/>
      <c r="N483" s="115"/>
      <c r="O483" s="22"/>
      <c r="P483" s="22"/>
      <c r="Q483" s="22"/>
      <c r="R483" s="22"/>
      <c r="S483" s="22"/>
      <c r="T483" s="115"/>
      <c r="U483" s="115"/>
      <c r="V483" s="22"/>
      <c r="W483" s="22"/>
      <c r="X483" s="22"/>
      <c r="Y483" s="22"/>
      <c r="Z483" s="22"/>
      <c r="AA483" s="115"/>
      <c r="AB483" s="115"/>
      <c r="AC483" s="22"/>
      <c r="AD483" s="22"/>
      <c r="AE483" s="22"/>
      <c r="AF483" s="22"/>
      <c r="AG483" s="22"/>
      <c r="AH483" s="115"/>
    </row>
    <row r="484" spans="6:34" x14ac:dyDescent="0.2">
      <c r="F484" s="1"/>
      <c r="N484" s="115"/>
      <c r="O484" s="22"/>
      <c r="P484" s="22"/>
      <c r="Q484" s="22"/>
      <c r="R484" s="22"/>
      <c r="S484" s="22"/>
      <c r="T484" s="115"/>
      <c r="U484" s="115"/>
      <c r="V484" s="22"/>
      <c r="W484" s="22"/>
      <c r="X484" s="22"/>
      <c r="Y484" s="22"/>
      <c r="Z484" s="22"/>
      <c r="AA484" s="115"/>
      <c r="AB484" s="115"/>
      <c r="AC484" s="22"/>
      <c r="AD484" s="22"/>
      <c r="AE484" s="22"/>
      <c r="AF484" s="22"/>
      <c r="AG484" s="22"/>
      <c r="AH484" s="115"/>
    </row>
    <row r="485" spans="6:34" x14ac:dyDescent="0.2">
      <c r="F485" s="1"/>
      <c r="N485" s="115"/>
      <c r="O485" s="22"/>
      <c r="P485" s="22"/>
      <c r="Q485" s="22"/>
      <c r="R485" s="22"/>
      <c r="S485" s="22"/>
      <c r="T485" s="115"/>
      <c r="U485" s="115"/>
      <c r="V485" s="22"/>
      <c r="W485" s="22"/>
      <c r="X485" s="22"/>
      <c r="Y485" s="22"/>
      <c r="Z485" s="22"/>
      <c r="AA485" s="115"/>
      <c r="AB485" s="115"/>
      <c r="AC485" s="22"/>
      <c r="AD485" s="22"/>
      <c r="AE485" s="22"/>
      <c r="AF485" s="22"/>
      <c r="AG485" s="22"/>
      <c r="AH485" s="115"/>
    </row>
    <row r="486" spans="6:34" x14ac:dyDescent="0.2">
      <c r="F486" s="1"/>
      <c r="N486" s="115"/>
      <c r="O486" s="22"/>
      <c r="P486" s="22"/>
      <c r="Q486" s="22"/>
      <c r="R486" s="22"/>
      <c r="S486" s="22"/>
      <c r="T486" s="115"/>
      <c r="U486" s="115"/>
      <c r="V486" s="22"/>
      <c r="W486" s="22"/>
      <c r="X486" s="22"/>
      <c r="Y486" s="22"/>
      <c r="Z486" s="22"/>
      <c r="AA486" s="115"/>
      <c r="AB486" s="115"/>
      <c r="AC486" s="22"/>
      <c r="AD486" s="22"/>
      <c r="AE486" s="22"/>
      <c r="AF486" s="22"/>
      <c r="AG486" s="22"/>
      <c r="AH486" s="115"/>
    </row>
    <row r="487" spans="6:34" x14ac:dyDescent="0.2">
      <c r="F487" s="1"/>
      <c r="N487" s="115"/>
      <c r="O487" s="22"/>
      <c r="P487" s="22"/>
      <c r="Q487" s="22"/>
      <c r="R487" s="22"/>
      <c r="S487" s="22"/>
      <c r="T487" s="115"/>
      <c r="U487" s="115"/>
      <c r="V487" s="22"/>
      <c r="W487" s="22"/>
      <c r="X487" s="22"/>
      <c r="Y487" s="22"/>
      <c r="Z487" s="22"/>
      <c r="AA487" s="115"/>
      <c r="AB487" s="115"/>
      <c r="AC487" s="22"/>
      <c r="AD487" s="22"/>
      <c r="AE487" s="22"/>
      <c r="AF487" s="22"/>
      <c r="AG487" s="22"/>
      <c r="AH487" s="115"/>
    </row>
    <row r="488" spans="6:34" x14ac:dyDescent="0.2">
      <c r="F488" s="1"/>
      <c r="N488" s="115"/>
      <c r="O488" s="22"/>
      <c r="P488" s="22"/>
      <c r="Q488" s="22"/>
      <c r="R488" s="22"/>
      <c r="S488" s="22"/>
      <c r="T488" s="115"/>
      <c r="U488" s="115"/>
      <c r="V488" s="22"/>
      <c r="W488" s="22"/>
      <c r="X488" s="22"/>
      <c r="Y488" s="22"/>
      <c r="Z488" s="22"/>
      <c r="AA488" s="115"/>
      <c r="AB488" s="115"/>
      <c r="AC488" s="22"/>
      <c r="AD488" s="22"/>
      <c r="AE488" s="22"/>
      <c r="AF488" s="22"/>
      <c r="AG488" s="22"/>
      <c r="AH488" s="115"/>
    </row>
    <row r="489" spans="6:34" x14ac:dyDescent="0.2">
      <c r="F489" s="1"/>
      <c r="N489" s="115"/>
      <c r="O489" s="22"/>
      <c r="P489" s="22"/>
      <c r="Q489" s="22"/>
      <c r="R489" s="22"/>
      <c r="S489" s="22"/>
      <c r="T489" s="115"/>
      <c r="U489" s="115"/>
      <c r="V489" s="22"/>
      <c r="W489" s="22"/>
      <c r="X489" s="22"/>
      <c r="Y489" s="22"/>
      <c r="Z489" s="22"/>
      <c r="AA489" s="115"/>
      <c r="AB489" s="115"/>
      <c r="AC489" s="22"/>
      <c r="AD489" s="22"/>
      <c r="AE489" s="22"/>
      <c r="AF489" s="22"/>
      <c r="AG489" s="22"/>
      <c r="AH489" s="115"/>
    </row>
    <row r="490" spans="6:34" x14ac:dyDescent="0.2">
      <c r="F490" s="1"/>
      <c r="N490" s="115"/>
      <c r="O490" s="22"/>
      <c r="P490" s="22"/>
      <c r="Q490" s="22"/>
      <c r="R490" s="22"/>
      <c r="S490" s="22"/>
      <c r="T490" s="115"/>
      <c r="U490" s="115"/>
      <c r="V490" s="22"/>
      <c r="W490" s="22"/>
      <c r="X490" s="22"/>
      <c r="Y490" s="22"/>
      <c r="Z490" s="22"/>
      <c r="AA490" s="115"/>
      <c r="AB490" s="115"/>
      <c r="AC490" s="22"/>
      <c r="AD490" s="22"/>
      <c r="AE490" s="22"/>
      <c r="AF490" s="22"/>
      <c r="AG490" s="22"/>
      <c r="AH490" s="115"/>
    </row>
    <row r="491" spans="6:34" x14ac:dyDescent="0.2">
      <c r="F491" s="1"/>
      <c r="N491" s="115"/>
      <c r="O491" s="22"/>
      <c r="P491" s="22"/>
      <c r="Q491" s="22"/>
      <c r="R491" s="22"/>
      <c r="S491" s="22"/>
      <c r="T491" s="115"/>
      <c r="U491" s="115"/>
      <c r="V491" s="22"/>
      <c r="W491" s="22"/>
      <c r="X491" s="22"/>
      <c r="Y491" s="22"/>
      <c r="Z491" s="22"/>
      <c r="AA491" s="115"/>
      <c r="AB491" s="115"/>
      <c r="AC491" s="22"/>
      <c r="AD491" s="22"/>
      <c r="AE491" s="22"/>
      <c r="AF491" s="22"/>
      <c r="AG491" s="22"/>
      <c r="AH491" s="115"/>
    </row>
    <row r="492" spans="6:34" x14ac:dyDescent="0.2">
      <c r="F492" s="1"/>
      <c r="N492" s="115"/>
      <c r="O492" s="22"/>
      <c r="P492" s="22"/>
      <c r="Q492" s="22"/>
      <c r="R492" s="22"/>
      <c r="S492" s="22"/>
      <c r="T492" s="115"/>
      <c r="U492" s="115"/>
      <c r="V492" s="22"/>
      <c r="W492" s="22"/>
      <c r="X492" s="22"/>
      <c r="Y492" s="22"/>
      <c r="Z492" s="22"/>
      <c r="AA492" s="115"/>
      <c r="AB492" s="115"/>
      <c r="AC492" s="22"/>
      <c r="AD492" s="22"/>
      <c r="AE492" s="22"/>
      <c r="AF492" s="22"/>
      <c r="AG492" s="22"/>
      <c r="AH492" s="115"/>
    </row>
    <row r="493" spans="6:34" x14ac:dyDescent="0.2">
      <c r="F493" s="1"/>
      <c r="N493" s="115"/>
      <c r="O493" s="22"/>
      <c r="P493" s="22"/>
      <c r="Q493" s="22"/>
      <c r="R493" s="22"/>
      <c r="S493" s="22"/>
      <c r="T493" s="115"/>
      <c r="U493" s="115"/>
      <c r="V493" s="22"/>
      <c r="W493" s="22"/>
      <c r="X493" s="22"/>
      <c r="Y493" s="22"/>
      <c r="Z493" s="22"/>
      <c r="AA493" s="115"/>
      <c r="AB493" s="115"/>
      <c r="AC493" s="22"/>
      <c r="AD493" s="22"/>
      <c r="AE493" s="22"/>
      <c r="AF493" s="22"/>
      <c r="AG493" s="22"/>
      <c r="AH493" s="115"/>
    </row>
    <row r="494" spans="6:34" x14ac:dyDescent="0.2">
      <c r="F494" s="1"/>
      <c r="N494" s="115"/>
      <c r="O494" s="22"/>
      <c r="P494" s="22"/>
      <c r="Q494" s="22"/>
      <c r="R494" s="22"/>
      <c r="S494" s="22"/>
      <c r="T494" s="115"/>
      <c r="U494" s="115"/>
      <c r="V494" s="22"/>
      <c r="W494" s="22"/>
      <c r="X494" s="22"/>
      <c r="Y494" s="22"/>
      <c r="Z494" s="22"/>
      <c r="AA494" s="115"/>
      <c r="AB494" s="115"/>
      <c r="AC494" s="22"/>
      <c r="AD494" s="22"/>
      <c r="AE494" s="22"/>
      <c r="AF494" s="22"/>
      <c r="AG494" s="22"/>
      <c r="AH494" s="115"/>
    </row>
    <row r="495" spans="6:34" x14ac:dyDescent="0.2">
      <c r="F495" s="1"/>
      <c r="N495" s="115"/>
      <c r="O495" s="22"/>
      <c r="P495" s="22"/>
      <c r="Q495" s="22"/>
      <c r="R495" s="22"/>
      <c r="S495" s="22"/>
      <c r="T495" s="115"/>
      <c r="U495" s="115"/>
      <c r="V495" s="22"/>
      <c r="W495" s="22"/>
      <c r="X495" s="22"/>
      <c r="Y495" s="22"/>
      <c r="Z495" s="22"/>
      <c r="AA495" s="115"/>
      <c r="AB495" s="115"/>
      <c r="AC495" s="22"/>
      <c r="AD495" s="22"/>
      <c r="AE495" s="22"/>
      <c r="AF495" s="22"/>
      <c r="AG495" s="22"/>
      <c r="AH495" s="115"/>
    </row>
    <row r="496" spans="6:34" x14ac:dyDescent="0.2">
      <c r="F496" s="1"/>
      <c r="N496" s="115"/>
      <c r="O496" s="22"/>
      <c r="P496" s="22"/>
      <c r="Q496" s="22"/>
      <c r="R496" s="22"/>
      <c r="S496" s="22"/>
      <c r="T496" s="115"/>
      <c r="U496" s="115"/>
      <c r="V496" s="22"/>
      <c r="W496" s="22"/>
      <c r="X496" s="22"/>
      <c r="Y496" s="22"/>
      <c r="Z496" s="22"/>
      <c r="AA496" s="115"/>
      <c r="AB496" s="115"/>
      <c r="AC496" s="22"/>
      <c r="AD496" s="22"/>
      <c r="AE496" s="22"/>
      <c r="AF496" s="22"/>
      <c r="AG496" s="22"/>
      <c r="AH496" s="115"/>
    </row>
    <row r="497" spans="6:34" x14ac:dyDescent="0.2">
      <c r="F497" s="1"/>
      <c r="N497" s="115"/>
      <c r="O497" s="22"/>
      <c r="P497" s="22"/>
      <c r="Q497" s="22"/>
      <c r="R497" s="22"/>
      <c r="S497" s="22"/>
      <c r="T497" s="115"/>
      <c r="U497" s="115"/>
      <c r="V497" s="22"/>
      <c r="W497" s="22"/>
      <c r="X497" s="22"/>
      <c r="Y497" s="22"/>
      <c r="Z497" s="22"/>
      <c r="AA497" s="115"/>
      <c r="AB497" s="115"/>
      <c r="AC497" s="22"/>
      <c r="AD497" s="22"/>
      <c r="AE497" s="22"/>
      <c r="AF497" s="22"/>
      <c r="AG497" s="22"/>
      <c r="AH497" s="115"/>
    </row>
    <row r="498" spans="6:34" x14ac:dyDescent="0.2">
      <c r="F498" s="1"/>
      <c r="N498" s="115"/>
      <c r="O498" s="22"/>
      <c r="P498" s="22"/>
      <c r="Q498" s="22"/>
      <c r="R498" s="22"/>
      <c r="S498" s="22"/>
      <c r="T498" s="115"/>
      <c r="U498" s="115"/>
      <c r="V498" s="22"/>
      <c r="W498" s="22"/>
      <c r="X498" s="22"/>
      <c r="Y498" s="22"/>
      <c r="Z498" s="22"/>
      <c r="AA498" s="115"/>
      <c r="AB498" s="115"/>
      <c r="AC498" s="22"/>
      <c r="AD498" s="22"/>
      <c r="AE498" s="22"/>
      <c r="AF498" s="22"/>
      <c r="AG498" s="22"/>
      <c r="AH498" s="115"/>
    </row>
    <row r="499" spans="6:34" x14ac:dyDescent="0.2">
      <c r="F499" s="1"/>
      <c r="N499" s="115"/>
      <c r="O499" s="22"/>
      <c r="P499" s="22"/>
      <c r="Q499" s="22"/>
      <c r="R499" s="22"/>
      <c r="S499" s="22"/>
      <c r="T499" s="115"/>
      <c r="U499" s="115"/>
      <c r="V499" s="22"/>
      <c r="W499" s="22"/>
      <c r="X499" s="22"/>
      <c r="Y499" s="22"/>
      <c r="Z499" s="22"/>
      <c r="AA499" s="115"/>
      <c r="AB499" s="115"/>
      <c r="AC499" s="22"/>
      <c r="AD499" s="22"/>
      <c r="AE499" s="22"/>
      <c r="AF499" s="22"/>
      <c r="AG499" s="22"/>
      <c r="AH499" s="115"/>
    </row>
    <row r="500" spans="6:34" x14ac:dyDescent="0.2">
      <c r="F500" s="1"/>
      <c r="N500" s="115"/>
      <c r="O500" s="22"/>
      <c r="P500" s="22"/>
      <c r="Q500" s="22"/>
      <c r="R500" s="22"/>
      <c r="S500" s="22"/>
      <c r="T500" s="115"/>
      <c r="U500" s="115"/>
      <c r="V500" s="22"/>
      <c r="W500" s="22"/>
      <c r="X500" s="22"/>
      <c r="Y500" s="22"/>
      <c r="Z500" s="22"/>
      <c r="AA500" s="115"/>
      <c r="AB500" s="115"/>
      <c r="AC500" s="22"/>
      <c r="AD500" s="22"/>
      <c r="AE500" s="22"/>
      <c r="AF500" s="22"/>
      <c r="AG500" s="22"/>
      <c r="AH500" s="115"/>
    </row>
    <row r="501" spans="6:34" x14ac:dyDescent="0.2">
      <c r="F501" s="1"/>
      <c r="N501" s="115"/>
      <c r="O501" s="22"/>
      <c r="P501" s="22"/>
      <c r="Q501" s="22"/>
      <c r="R501" s="22"/>
      <c r="S501" s="22"/>
      <c r="T501" s="115"/>
      <c r="U501" s="115"/>
      <c r="V501" s="22"/>
      <c r="W501" s="22"/>
      <c r="X501" s="22"/>
      <c r="Y501" s="22"/>
      <c r="Z501" s="22"/>
      <c r="AA501" s="115"/>
      <c r="AB501" s="115"/>
      <c r="AC501" s="22"/>
      <c r="AD501" s="22"/>
      <c r="AE501" s="22"/>
      <c r="AF501" s="22"/>
      <c r="AG501" s="22"/>
      <c r="AH501" s="115"/>
    </row>
    <row r="502" spans="6:34" x14ac:dyDescent="0.2">
      <c r="F502" s="1"/>
      <c r="N502" s="115"/>
      <c r="O502" s="22"/>
      <c r="P502" s="22"/>
      <c r="Q502" s="22"/>
      <c r="R502" s="22"/>
      <c r="S502" s="22"/>
      <c r="T502" s="115"/>
      <c r="U502" s="115"/>
      <c r="V502" s="22"/>
      <c r="W502" s="22"/>
      <c r="X502" s="22"/>
      <c r="Y502" s="22"/>
      <c r="Z502" s="22"/>
      <c r="AA502" s="115"/>
      <c r="AB502" s="115"/>
      <c r="AC502" s="22"/>
      <c r="AD502" s="22"/>
      <c r="AE502" s="22"/>
      <c r="AF502" s="22"/>
      <c r="AG502" s="22"/>
      <c r="AH502" s="115"/>
    </row>
    <row r="503" spans="6:34" x14ac:dyDescent="0.2">
      <c r="F503" s="1"/>
      <c r="N503" s="115"/>
      <c r="O503" s="22"/>
      <c r="P503" s="22"/>
      <c r="Q503" s="22"/>
      <c r="R503" s="22"/>
      <c r="S503" s="22"/>
      <c r="T503" s="115"/>
      <c r="U503" s="115"/>
      <c r="V503" s="22"/>
      <c r="W503" s="22"/>
      <c r="X503" s="22"/>
      <c r="Y503" s="22"/>
      <c r="Z503" s="22"/>
      <c r="AA503" s="115"/>
      <c r="AB503" s="115"/>
      <c r="AC503" s="22"/>
      <c r="AD503" s="22"/>
      <c r="AE503" s="22"/>
      <c r="AF503" s="22"/>
      <c r="AG503" s="22"/>
      <c r="AH503" s="115"/>
    </row>
    <row r="504" spans="6:34" x14ac:dyDescent="0.2">
      <c r="F504" s="1"/>
      <c r="N504" s="115"/>
      <c r="O504" s="22"/>
      <c r="P504" s="22"/>
      <c r="Q504" s="22"/>
      <c r="R504" s="22"/>
      <c r="S504" s="22"/>
      <c r="T504" s="115"/>
      <c r="U504" s="115"/>
      <c r="V504" s="22"/>
      <c r="W504" s="22"/>
      <c r="X504" s="22"/>
      <c r="Y504" s="22"/>
      <c r="Z504" s="22"/>
      <c r="AA504" s="115"/>
      <c r="AB504" s="115"/>
      <c r="AC504" s="22"/>
      <c r="AD504" s="22"/>
      <c r="AE504" s="22"/>
      <c r="AF504" s="22"/>
      <c r="AG504" s="22"/>
      <c r="AH504" s="115"/>
    </row>
    <row r="505" spans="6:34" x14ac:dyDescent="0.2">
      <c r="F505" s="1"/>
      <c r="N505" s="115"/>
      <c r="O505" s="22"/>
      <c r="P505" s="22"/>
      <c r="Q505" s="22"/>
      <c r="R505" s="22"/>
      <c r="S505" s="22"/>
      <c r="T505" s="115"/>
      <c r="U505" s="115"/>
      <c r="V505" s="22"/>
      <c r="W505" s="22"/>
      <c r="X505" s="22"/>
      <c r="Y505" s="22"/>
      <c r="Z505" s="22"/>
      <c r="AA505" s="115"/>
      <c r="AB505" s="115"/>
      <c r="AC505" s="22"/>
      <c r="AD505" s="22"/>
      <c r="AE505" s="22"/>
      <c r="AF505" s="22"/>
      <c r="AG505" s="22"/>
      <c r="AH505" s="115"/>
    </row>
    <row r="506" spans="6:34" x14ac:dyDescent="0.2">
      <c r="F506" s="1"/>
      <c r="N506" s="115"/>
      <c r="O506" s="22"/>
      <c r="P506" s="22"/>
      <c r="Q506" s="22"/>
      <c r="R506" s="22"/>
      <c r="S506" s="22"/>
      <c r="T506" s="115"/>
      <c r="U506" s="115"/>
      <c r="V506" s="22"/>
      <c r="W506" s="22"/>
      <c r="X506" s="22"/>
      <c r="Y506" s="22"/>
      <c r="Z506" s="22"/>
      <c r="AA506" s="115"/>
      <c r="AB506" s="115"/>
      <c r="AC506" s="22"/>
      <c r="AD506" s="22"/>
      <c r="AE506" s="22"/>
      <c r="AF506" s="22"/>
      <c r="AG506" s="22"/>
      <c r="AH506" s="115"/>
    </row>
    <row r="507" spans="6:34" x14ac:dyDescent="0.2">
      <c r="F507" s="1"/>
      <c r="N507" s="115"/>
      <c r="O507" s="22"/>
      <c r="P507" s="22"/>
      <c r="Q507" s="22"/>
      <c r="R507" s="22"/>
      <c r="S507" s="22"/>
      <c r="T507" s="115"/>
      <c r="U507" s="115"/>
      <c r="V507" s="22"/>
      <c r="W507" s="22"/>
      <c r="X507" s="22"/>
      <c r="Y507" s="22"/>
      <c r="Z507" s="22"/>
      <c r="AA507" s="115"/>
      <c r="AB507" s="115"/>
      <c r="AC507" s="22"/>
      <c r="AD507" s="22"/>
      <c r="AE507" s="22"/>
      <c r="AF507" s="22"/>
      <c r="AG507" s="22"/>
      <c r="AH507" s="115"/>
    </row>
    <row r="508" spans="6:34" x14ac:dyDescent="0.2">
      <c r="F508" s="1"/>
      <c r="N508" s="115"/>
      <c r="O508" s="22"/>
      <c r="P508" s="22"/>
      <c r="Q508" s="22"/>
      <c r="R508" s="22"/>
      <c r="S508" s="22"/>
      <c r="T508" s="115"/>
      <c r="U508" s="115"/>
      <c r="V508" s="22"/>
      <c r="W508" s="22"/>
      <c r="X508" s="22"/>
      <c r="Y508" s="22"/>
      <c r="Z508" s="22"/>
      <c r="AA508" s="115"/>
      <c r="AB508" s="115"/>
      <c r="AC508" s="22"/>
      <c r="AD508" s="22"/>
      <c r="AE508" s="22"/>
      <c r="AF508" s="22"/>
      <c r="AG508" s="22"/>
      <c r="AH508" s="115"/>
    </row>
    <row r="509" spans="6:34" x14ac:dyDescent="0.2">
      <c r="F509" s="1"/>
      <c r="N509" s="115"/>
      <c r="O509" s="22"/>
      <c r="P509" s="22"/>
      <c r="Q509" s="22"/>
      <c r="R509" s="22"/>
      <c r="S509" s="22"/>
      <c r="T509" s="115"/>
      <c r="U509" s="115"/>
      <c r="V509" s="22"/>
      <c r="W509" s="22"/>
      <c r="X509" s="22"/>
      <c r="Y509" s="22"/>
      <c r="Z509" s="22"/>
      <c r="AA509" s="115"/>
      <c r="AB509" s="115"/>
      <c r="AC509" s="22"/>
      <c r="AD509" s="22"/>
      <c r="AE509" s="22"/>
      <c r="AF509" s="22"/>
      <c r="AG509" s="22"/>
      <c r="AH509" s="115"/>
    </row>
    <row r="510" spans="6:34" x14ac:dyDescent="0.2">
      <c r="F510" s="1"/>
      <c r="N510" s="115"/>
      <c r="O510" s="22"/>
      <c r="P510" s="22"/>
      <c r="Q510" s="22"/>
      <c r="R510" s="22"/>
      <c r="S510" s="22"/>
      <c r="T510" s="115"/>
      <c r="U510" s="115"/>
      <c r="V510" s="22"/>
      <c r="W510" s="22"/>
      <c r="X510" s="22"/>
      <c r="Y510" s="22"/>
      <c r="Z510" s="22"/>
      <c r="AA510" s="115"/>
      <c r="AB510" s="115"/>
      <c r="AC510" s="22"/>
      <c r="AD510" s="22"/>
      <c r="AE510" s="22"/>
      <c r="AF510" s="22"/>
      <c r="AG510" s="22"/>
      <c r="AH510" s="115"/>
    </row>
    <row r="511" spans="6:34" x14ac:dyDescent="0.2">
      <c r="F511" s="1"/>
      <c r="N511" s="115"/>
      <c r="O511" s="22"/>
      <c r="P511" s="22"/>
      <c r="Q511" s="22"/>
      <c r="R511" s="22"/>
      <c r="S511" s="22"/>
      <c r="T511" s="115"/>
      <c r="U511" s="115"/>
      <c r="V511" s="22"/>
      <c r="W511" s="22"/>
      <c r="X511" s="22"/>
      <c r="Y511" s="22"/>
      <c r="Z511" s="22"/>
      <c r="AA511" s="115"/>
      <c r="AB511" s="115"/>
      <c r="AC511" s="22"/>
      <c r="AD511" s="22"/>
      <c r="AE511" s="22"/>
      <c r="AF511" s="22"/>
      <c r="AG511" s="22"/>
      <c r="AH511" s="115"/>
    </row>
    <row r="512" spans="6:34" x14ac:dyDescent="0.2">
      <c r="F512" s="1"/>
      <c r="N512" s="115"/>
      <c r="O512" s="22"/>
      <c r="P512" s="22"/>
      <c r="Q512" s="22"/>
      <c r="R512" s="22"/>
      <c r="S512" s="22"/>
      <c r="T512" s="115"/>
      <c r="U512" s="115"/>
      <c r="V512" s="22"/>
      <c r="W512" s="22"/>
      <c r="X512" s="22"/>
      <c r="Y512" s="22"/>
      <c r="Z512" s="22"/>
      <c r="AA512" s="115"/>
      <c r="AB512" s="115"/>
      <c r="AC512" s="22"/>
      <c r="AD512" s="22"/>
      <c r="AE512" s="22"/>
      <c r="AF512" s="22"/>
      <c r="AG512" s="22"/>
      <c r="AH512" s="115"/>
    </row>
    <row r="513" spans="6:34" x14ac:dyDescent="0.2">
      <c r="F513" s="1"/>
      <c r="N513" s="115"/>
      <c r="O513" s="22"/>
      <c r="P513" s="22"/>
      <c r="Q513" s="22"/>
      <c r="R513" s="22"/>
      <c r="S513" s="22"/>
      <c r="T513" s="115"/>
      <c r="U513" s="115"/>
      <c r="V513" s="22"/>
      <c r="W513" s="22"/>
      <c r="X513" s="22"/>
      <c r="Y513" s="22"/>
      <c r="Z513" s="22"/>
      <c r="AA513" s="115"/>
      <c r="AB513" s="115"/>
      <c r="AC513" s="22"/>
      <c r="AD513" s="22"/>
      <c r="AE513" s="22"/>
      <c r="AF513" s="22"/>
      <c r="AG513" s="22"/>
      <c r="AH513" s="115"/>
    </row>
    <row r="514" spans="6:34" x14ac:dyDescent="0.2">
      <c r="F514" s="1"/>
      <c r="N514" s="115"/>
      <c r="O514" s="22"/>
      <c r="P514" s="22"/>
      <c r="Q514" s="22"/>
      <c r="R514" s="22"/>
      <c r="S514" s="22"/>
      <c r="T514" s="115"/>
      <c r="U514" s="115"/>
      <c r="V514" s="22"/>
      <c r="W514" s="22"/>
      <c r="X514" s="22"/>
      <c r="Y514" s="22"/>
      <c r="Z514" s="22"/>
      <c r="AA514" s="115"/>
      <c r="AB514" s="115"/>
      <c r="AC514" s="22"/>
      <c r="AD514" s="22"/>
      <c r="AE514" s="22"/>
      <c r="AF514" s="22"/>
      <c r="AG514" s="22"/>
      <c r="AH514" s="115"/>
    </row>
    <row r="515" spans="6:34" x14ac:dyDescent="0.2">
      <c r="F515" s="1"/>
      <c r="N515" s="115"/>
      <c r="O515" s="22"/>
      <c r="P515" s="22"/>
      <c r="Q515" s="22"/>
      <c r="R515" s="22"/>
      <c r="S515" s="22"/>
      <c r="T515" s="115"/>
      <c r="U515" s="115"/>
      <c r="V515" s="22"/>
      <c r="W515" s="22"/>
      <c r="X515" s="22"/>
      <c r="Y515" s="22"/>
      <c r="Z515" s="22"/>
      <c r="AA515" s="115"/>
      <c r="AB515" s="115"/>
      <c r="AC515" s="22"/>
      <c r="AD515" s="22"/>
      <c r="AE515" s="22"/>
      <c r="AF515" s="22"/>
      <c r="AG515" s="22"/>
      <c r="AH515" s="115"/>
    </row>
    <row r="516" spans="6:34" x14ac:dyDescent="0.2">
      <c r="F516" s="1"/>
      <c r="N516" s="115"/>
      <c r="O516" s="22"/>
      <c r="P516" s="22"/>
      <c r="Q516" s="22"/>
      <c r="R516" s="22"/>
      <c r="S516" s="22"/>
      <c r="T516" s="115"/>
      <c r="U516" s="115"/>
      <c r="V516" s="22"/>
      <c r="W516" s="22"/>
      <c r="X516" s="22"/>
      <c r="Y516" s="22"/>
      <c r="Z516" s="22"/>
      <c r="AA516" s="115"/>
      <c r="AB516" s="115"/>
      <c r="AC516" s="22"/>
      <c r="AD516" s="22"/>
      <c r="AE516" s="22"/>
      <c r="AF516" s="22"/>
      <c r="AG516" s="22"/>
      <c r="AH516" s="115"/>
    </row>
    <row r="517" spans="6:34" x14ac:dyDescent="0.2">
      <c r="F517" s="1"/>
      <c r="N517" s="115"/>
      <c r="O517" s="22"/>
      <c r="P517" s="22"/>
      <c r="Q517" s="22"/>
      <c r="R517" s="22"/>
      <c r="S517" s="22"/>
      <c r="T517" s="115"/>
      <c r="U517" s="115"/>
      <c r="V517" s="22"/>
      <c r="W517" s="22"/>
      <c r="X517" s="22"/>
      <c r="Y517" s="22"/>
      <c r="Z517" s="22"/>
      <c r="AA517" s="115"/>
      <c r="AB517" s="115"/>
      <c r="AC517" s="22"/>
      <c r="AD517" s="22"/>
      <c r="AE517" s="22"/>
      <c r="AF517" s="22"/>
      <c r="AG517" s="22"/>
      <c r="AH517" s="115"/>
    </row>
    <row r="518" spans="6:34" x14ac:dyDescent="0.2">
      <c r="F518" s="1"/>
      <c r="N518" s="115"/>
      <c r="O518" s="22"/>
      <c r="P518" s="22"/>
      <c r="Q518" s="22"/>
      <c r="R518" s="22"/>
      <c r="S518" s="22"/>
      <c r="T518" s="115"/>
      <c r="U518" s="115"/>
      <c r="V518" s="22"/>
      <c r="W518" s="22"/>
      <c r="X518" s="22"/>
      <c r="Y518" s="22"/>
      <c r="Z518" s="22"/>
      <c r="AA518" s="115"/>
      <c r="AB518" s="115"/>
      <c r="AC518" s="22"/>
      <c r="AD518" s="22"/>
      <c r="AE518" s="22"/>
      <c r="AF518" s="22"/>
      <c r="AG518" s="22"/>
      <c r="AH518" s="115"/>
    </row>
    <row r="519" spans="6:34" x14ac:dyDescent="0.2">
      <c r="F519" s="1"/>
      <c r="N519" s="115"/>
      <c r="O519" s="22"/>
      <c r="P519" s="22"/>
      <c r="Q519" s="22"/>
      <c r="R519" s="22"/>
      <c r="S519" s="22"/>
      <c r="T519" s="115"/>
      <c r="U519" s="115"/>
      <c r="V519" s="22"/>
      <c r="W519" s="22"/>
      <c r="X519" s="22"/>
      <c r="Y519" s="22"/>
      <c r="Z519" s="22"/>
      <c r="AA519" s="115"/>
      <c r="AB519" s="115"/>
      <c r="AC519" s="22"/>
      <c r="AD519" s="22"/>
      <c r="AE519" s="22"/>
      <c r="AF519" s="22"/>
      <c r="AG519" s="22"/>
      <c r="AH519" s="115"/>
    </row>
    <row r="520" spans="6:34" x14ac:dyDescent="0.2">
      <c r="F520" s="1"/>
      <c r="N520" s="115"/>
      <c r="O520" s="22"/>
      <c r="P520" s="22"/>
      <c r="Q520" s="22"/>
      <c r="R520" s="22"/>
      <c r="S520" s="22"/>
      <c r="T520" s="115"/>
      <c r="U520" s="115"/>
      <c r="V520" s="22"/>
      <c r="W520" s="22"/>
      <c r="X520" s="22"/>
      <c r="Y520" s="22"/>
      <c r="Z520" s="22"/>
      <c r="AA520" s="115"/>
      <c r="AB520" s="115"/>
      <c r="AC520" s="22"/>
      <c r="AD520" s="22"/>
      <c r="AE520" s="22"/>
      <c r="AF520" s="22"/>
      <c r="AG520" s="22"/>
      <c r="AH520" s="115"/>
    </row>
    <row r="521" spans="6:34" x14ac:dyDescent="0.2">
      <c r="F521" s="1"/>
      <c r="N521" s="115"/>
      <c r="O521" s="22"/>
      <c r="P521" s="22"/>
      <c r="Q521" s="22"/>
      <c r="R521" s="22"/>
      <c r="S521" s="22"/>
      <c r="T521" s="115"/>
      <c r="U521" s="115"/>
      <c r="V521" s="22"/>
      <c r="W521" s="22"/>
      <c r="X521" s="22"/>
      <c r="Y521" s="22"/>
      <c r="Z521" s="22"/>
      <c r="AA521" s="115"/>
      <c r="AB521" s="115"/>
      <c r="AC521" s="22"/>
      <c r="AD521" s="22"/>
      <c r="AE521" s="22"/>
      <c r="AF521" s="22"/>
      <c r="AG521" s="22"/>
      <c r="AH521" s="115"/>
    </row>
    <row r="522" spans="6:34" x14ac:dyDescent="0.2">
      <c r="F522" s="1"/>
      <c r="N522" s="115"/>
      <c r="O522" s="22"/>
      <c r="P522" s="22"/>
      <c r="Q522" s="22"/>
      <c r="R522" s="22"/>
      <c r="S522" s="22"/>
      <c r="T522" s="115"/>
      <c r="U522" s="115"/>
      <c r="V522" s="22"/>
      <c r="W522" s="22"/>
      <c r="X522" s="22"/>
      <c r="Y522" s="22"/>
      <c r="Z522" s="22"/>
      <c r="AA522" s="115"/>
      <c r="AB522" s="115"/>
      <c r="AC522" s="22"/>
      <c r="AD522" s="22"/>
      <c r="AE522" s="22"/>
      <c r="AF522" s="22"/>
      <c r="AG522" s="22"/>
      <c r="AH522" s="115"/>
    </row>
    <row r="523" spans="6:34" x14ac:dyDescent="0.2">
      <c r="F523" s="1"/>
      <c r="N523" s="115"/>
      <c r="O523" s="22"/>
      <c r="P523" s="22"/>
      <c r="Q523" s="22"/>
      <c r="R523" s="22"/>
      <c r="S523" s="22"/>
      <c r="T523" s="115"/>
      <c r="U523" s="115"/>
      <c r="V523" s="22"/>
      <c r="W523" s="22"/>
      <c r="X523" s="22"/>
      <c r="Y523" s="22"/>
      <c r="Z523" s="22"/>
      <c r="AA523" s="115"/>
      <c r="AB523" s="115"/>
      <c r="AC523" s="22"/>
      <c r="AD523" s="22"/>
      <c r="AE523" s="22"/>
      <c r="AF523" s="22"/>
      <c r="AG523" s="22"/>
      <c r="AH523" s="115"/>
    </row>
    <row r="524" spans="6:34" x14ac:dyDescent="0.2">
      <c r="F524" s="1"/>
      <c r="N524" s="115"/>
      <c r="O524" s="22"/>
      <c r="P524" s="22"/>
      <c r="Q524" s="22"/>
      <c r="R524" s="22"/>
      <c r="S524" s="22"/>
      <c r="T524" s="115"/>
      <c r="U524" s="115"/>
      <c r="V524" s="22"/>
      <c r="W524" s="22"/>
      <c r="X524" s="22"/>
      <c r="Y524" s="22"/>
      <c r="Z524" s="22"/>
      <c r="AA524" s="115"/>
      <c r="AB524" s="115"/>
      <c r="AC524" s="22"/>
      <c r="AD524" s="22"/>
      <c r="AE524" s="22"/>
      <c r="AF524" s="22"/>
      <c r="AG524" s="22"/>
      <c r="AH524" s="115"/>
    </row>
    <row r="525" spans="6:34" x14ac:dyDescent="0.2">
      <c r="F525" s="1"/>
      <c r="N525" s="115"/>
      <c r="O525" s="22"/>
      <c r="P525" s="22"/>
      <c r="Q525" s="22"/>
      <c r="R525" s="22"/>
      <c r="S525" s="22"/>
      <c r="T525" s="115"/>
      <c r="U525" s="115"/>
      <c r="V525" s="22"/>
      <c r="W525" s="22"/>
      <c r="X525" s="22"/>
      <c r="Y525" s="22"/>
      <c r="Z525" s="22"/>
      <c r="AA525" s="115"/>
      <c r="AB525" s="115"/>
      <c r="AC525" s="22"/>
      <c r="AD525" s="22"/>
      <c r="AE525" s="22"/>
      <c r="AF525" s="22"/>
      <c r="AG525" s="22"/>
      <c r="AH525" s="115"/>
    </row>
    <row r="526" spans="6:34" x14ac:dyDescent="0.2">
      <c r="F526" s="1"/>
      <c r="N526" s="115"/>
      <c r="O526" s="22"/>
      <c r="P526" s="22"/>
      <c r="Q526" s="22"/>
      <c r="R526" s="22"/>
      <c r="S526" s="22"/>
      <c r="T526" s="115"/>
      <c r="U526" s="115"/>
      <c r="V526" s="22"/>
      <c r="W526" s="22"/>
      <c r="X526" s="22"/>
      <c r="Y526" s="22"/>
      <c r="Z526" s="22"/>
      <c r="AA526" s="115"/>
      <c r="AB526" s="115"/>
      <c r="AC526" s="22"/>
      <c r="AD526" s="22"/>
      <c r="AE526" s="22"/>
      <c r="AF526" s="22"/>
      <c r="AG526" s="22"/>
      <c r="AH526" s="115"/>
    </row>
    <row r="527" spans="6:34" x14ac:dyDescent="0.2">
      <c r="F527" s="1"/>
      <c r="N527" s="115"/>
      <c r="O527" s="22"/>
      <c r="P527" s="22"/>
      <c r="Q527" s="22"/>
      <c r="R527" s="22"/>
      <c r="S527" s="22"/>
      <c r="T527" s="115"/>
      <c r="U527" s="115"/>
      <c r="V527" s="22"/>
      <c r="W527" s="22"/>
      <c r="X527" s="22"/>
      <c r="Y527" s="22"/>
      <c r="Z527" s="22"/>
      <c r="AA527" s="115"/>
      <c r="AB527" s="115"/>
      <c r="AC527" s="22"/>
      <c r="AD527" s="22"/>
      <c r="AE527" s="22"/>
      <c r="AF527" s="22"/>
      <c r="AG527" s="22"/>
      <c r="AH527" s="115"/>
    </row>
    <row r="528" spans="6:34" x14ac:dyDescent="0.2">
      <c r="F528" s="1"/>
      <c r="N528" s="115"/>
      <c r="O528" s="22"/>
      <c r="P528" s="22"/>
      <c r="Q528" s="22"/>
      <c r="R528" s="22"/>
      <c r="S528" s="22"/>
      <c r="T528" s="115"/>
      <c r="U528" s="115"/>
      <c r="V528" s="22"/>
      <c r="W528" s="22"/>
      <c r="X528" s="22"/>
      <c r="Y528" s="22"/>
      <c r="Z528" s="22"/>
      <c r="AA528" s="115"/>
      <c r="AB528" s="115"/>
      <c r="AC528" s="22"/>
      <c r="AD528" s="22"/>
      <c r="AE528" s="22"/>
      <c r="AF528" s="22"/>
      <c r="AG528" s="22"/>
      <c r="AH528" s="115"/>
    </row>
    <row r="529" spans="6:34" x14ac:dyDescent="0.2">
      <c r="F529" s="1"/>
      <c r="N529" s="115"/>
      <c r="O529" s="22"/>
      <c r="P529" s="22"/>
      <c r="Q529" s="22"/>
      <c r="R529" s="22"/>
      <c r="S529" s="22"/>
      <c r="T529" s="115"/>
      <c r="U529" s="115"/>
      <c r="V529" s="22"/>
      <c r="W529" s="22"/>
      <c r="X529" s="22"/>
      <c r="Y529" s="22"/>
      <c r="Z529" s="22"/>
      <c r="AA529" s="115"/>
      <c r="AB529" s="115"/>
      <c r="AC529" s="22"/>
      <c r="AD529" s="22"/>
      <c r="AE529" s="22"/>
      <c r="AF529" s="22"/>
      <c r="AG529" s="22"/>
      <c r="AH529" s="115"/>
    </row>
    <row r="530" spans="6:34" x14ac:dyDescent="0.2">
      <c r="F530" s="1"/>
      <c r="N530" s="115"/>
      <c r="O530" s="22"/>
      <c r="P530" s="22"/>
      <c r="Q530" s="22"/>
      <c r="R530" s="22"/>
      <c r="S530" s="22"/>
      <c r="T530" s="115"/>
      <c r="U530" s="115"/>
      <c r="V530" s="22"/>
      <c r="W530" s="22"/>
      <c r="X530" s="22"/>
      <c r="Y530" s="22"/>
      <c r="Z530" s="22"/>
      <c r="AA530" s="115"/>
      <c r="AB530" s="115"/>
      <c r="AC530" s="22"/>
      <c r="AD530" s="22"/>
      <c r="AE530" s="22"/>
      <c r="AF530" s="22"/>
      <c r="AG530" s="22"/>
      <c r="AH530" s="115"/>
    </row>
    <row r="531" spans="6:34" x14ac:dyDescent="0.2">
      <c r="F531" s="1"/>
      <c r="N531" s="115"/>
      <c r="O531" s="22"/>
      <c r="P531" s="22"/>
      <c r="Q531" s="22"/>
      <c r="R531" s="22"/>
      <c r="S531" s="22"/>
      <c r="T531" s="115"/>
      <c r="U531" s="115"/>
      <c r="V531" s="22"/>
      <c r="W531" s="22"/>
      <c r="X531" s="22"/>
      <c r="Y531" s="22"/>
      <c r="Z531" s="22"/>
      <c r="AA531" s="115"/>
      <c r="AB531" s="115"/>
      <c r="AC531" s="22"/>
      <c r="AD531" s="22"/>
      <c r="AE531" s="22"/>
      <c r="AF531" s="22"/>
      <c r="AG531" s="22"/>
      <c r="AH531" s="115"/>
    </row>
    <row r="532" spans="6:34" x14ac:dyDescent="0.2">
      <c r="F532" s="1"/>
      <c r="N532" s="115"/>
      <c r="O532" s="22"/>
      <c r="P532" s="22"/>
      <c r="Q532" s="22"/>
      <c r="R532" s="22"/>
      <c r="S532" s="22"/>
      <c r="T532" s="115"/>
      <c r="U532" s="115"/>
      <c r="V532" s="22"/>
      <c r="W532" s="22"/>
      <c r="X532" s="22"/>
      <c r="Y532" s="22"/>
      <c r="Z532" s="22"/>
      <c r="AA532" s="115"/>
      <c r="AB532" s="115"/>
      <c r="AC532" s="22"/>
      <c r="AD532" s="22"/>
      <c r="AE532" s="22"/>
      <c r="AF532" s="22"/>
      <c r="AG532" s="22"/>
      <c r="AH532" s="115"/>
    </row>
    <row r="533" spans="6:34" x14ac:dyDescent="0.2">
      <c r="F533" s="1"/>
      <c r="N533" s="115"/>
      <c r="O533" s="22"/>
      <c r="P533" s="22"/>
      <c r="Q533" s="22"/>
      <c r="R533" s="22"/>
      <c r="S533" s="22"/>
      <c r="T533" s="115"/>
      <c r="U533" s="115"/>
      <c r="V533" s="22"/>
      <c r="W533" s="22"/>
      <c r="X533" s="22"/>
      <c r="Y533" s="22"/>
      <c r="Z533" s="22"/>
      <c r="AA533" s="115"/>
      <c r="AB533" s="115"/>
      <c r="AC533" s="22"/>
      <c r="AD533" s="22"/>
      <c r="AE533" s="22"/>
      <c r="AF533" s="22"/>
      <c r="AG533" s="22"/>
      <c r="AH533" s="115"/>
    </row>
    <row r="534" spans="6:34" x14ac:dyDescent="0.2">
      <c r="F534" s="1"/>
      <c r="N534" s="115"/>
      <c r="O534" s="22"/>
      <c r="P534" s="22"/>
      <c r="Q534" s="22"/>
      <c r="R534" s="22"/>
      <c r="S534" s="22"/>
      <c r="T534" s="115"/>
      <c r="U534" s="115"/>
      <c r="V534" s="22"/>
      <c r="W534" s="22"/>
      <c r="X534" s="22"/>
      <c r="Y534" s="22"/>
      <c r="Z534" s="22"/>
      <c r="AA534" s="115"/>
      <c r="AB534" s="115"/>
      <c r="AC534" s="22"/>
      <c r="AD534" s="22"/>
      <c r="AE534" s="22"/>
      <c r="AF534" s="22"/>
      <c r="AG534" s="22"/>
      <c r="AH534" s="115"/>
    </row>
    <row r="535" spans="6:34" x14ac:dyDescent="0.2">
      <c r="F535" s="1"/>
      <c r="N535" s="115"/>
      <c r="O535" s="22"/>
      <c r="P535" s="22"/>
      <c r="Q535" s="22"/>
      <c r="R535" s="22"/>
      <c r="S535" s="22"/>
      <c r="T535" s="115"/>
      <c r="U535" s="115"/>
      <c r="V535" s="22"/>
      <c r="W535" s="22"/>
      <c r="X535" s="22"/>
      <c r="Y535" s="22"/>
      <c r="Z535" s="22"/>
      <c r="AA535" s="115"/>
      <c r="AB535" s="115"/>
      <c r="AC535" s="22"/>
      <c r="AD535" s="22"/>
      <c r="AE535" s="22"/>
      <c r="AF535" s="22"/>
      <c r="AG535" s="22"/>
      <c r="AH535" s="115"/>
    </row>
    <row r="536" spans="6:34" x14ac:dyDescent="0.2">
      <c r="F536" s="1"/>
      <c r="N536" s="115"/>
      <c r="O536" s="22"/>
      <c r="P536" s="22"/>
      <c r="Q536" s="22"/>
      <c r="R536" s="22"/>
      <c r="S536" s="22"/>
      <c r="T536" s="115"/>
      <c r="U536" s="115"/>
      <c r="V536" s="22"/>
      <c r="W536" s="22"/>
      <c r="X536" s="22"/>
      <c r="Y536" s="22"/>
      <c r="Z536" s="22"/>
      <c r="AA536" s="115"/>
      <c r="AB536" s="115"/>
      <c r="AC536" s="22"/>
      <c r="AD536" s="22"/>
      <c r="AE536" s="22"/>
      <c r="AF536" s="22"/>
      <c r="AG536" s="22"/>
      <c r="AH536" s="115"/>
    </row>
    <row r="537" spans="6:34" x14ac:dyDescent="0.2">
      <c r="F537" s="1"/>
      <c r="N537" s="115"/>
      <c r="O537" s="22"/>
      <c r="P537" s="22"/>
      <c r="Q537" s="22"/>
      <c r="R537" s="22"/>
      <c r="S537" s="22"/>
      <c r="T537" s="115"/>
      <c r="U537" s="115"/>
      <c r="V537" s="22"/>
      <c r="W537" s="22"/>
      <c r="X537" s="22"/>
      <c r="Y537" s="22"/>
      <c r="Z537" s="22"/>
      <c r="AA537" s="115"/>
      <c r="AB537" s="115"/>
      <c r="AC537" s="22"/>
      <c r="AD537" s="22"/>
      <c r="AE537" s="22"/>
      <c r="AF537" s="22"/>
      <c r="AG537" s="22"/>
      <c r="AH537" s="115"/>
    </row>
    <row r="538" spans="6:34" x14ac:dyDescent="0.2">
      <c r="F538" s="1"/>
      <c r="N538" s="115"/>
      <c r="O538" s="22"/>
      <c r="P538" s="22"/>
      <c r="Q538" s="22"/>
      <c r="R538" s="22"/>
      <c r="S538" s="22"/>
      <c r="T538" s="115"/>
      <c r="U538" s="115"/>
      <c r="V538" s="22"/>
      <c r="W538" s="22"/>
      <c r="X538" s="22"/>
      <c r="Y538" s="22"/>
      <c r="Z538" s="22"/>
      <c r="AA538" s="115"/>
      <c r="AB538" s="115"/>
      <c r="AC538" s="22"/>
      <c r="AD538" s="22"/>
      <c r="AE538" s="22"/>
      <c r="AF538" s="22"/>
      <c r="AG538" s="22"/>
      <c r="AH538" s="115"/>
    </row>
    <row r="539" spans="6:34" x14ac:dyDescent="0.2">
      <c r="F539" s="1"/>
      <c r="N539" s="115"/>
      <c r="O539" s="22"/>
      <c r="P539" s="22"/>
      <c r="Q539" s="22"/>
      <c r="R539" s="22"/>
      <c r="S539" s="22"/>
      <c r="T539" s="115"/>
      <c r="U539" s="115"/>
      <c r="V539" s="22"/>
      <c r="W539" s="22"/>
      <c r="X539" s="22"/>
      <c r="Y539" s="22"/>
      <c r="Z539" s="22"/>
      <c r="AA539" s="115"/>
      <c r="AB539" s="115"/>
      <c r="AC539" s="22"/>
      <c r="AD539" s="22"/>
      <c r="AE539" s="22"/>
      <c r="AF539" s="22"/>
      <c r="AG539" s="22"/>
      <c r="AH539" s="115"/>
    </row>
    <row r="540" spans="6:34" x14ac:dyDescent="0.2">
      <c r="F540" s="1"/>
      <c r="N540" s="115"/>
      <c r="O540" s="22"/>
      <c r="P540" s="22"/>
      <c r="Q540" s="22"/>
      <c r="R540" s="22"/>
      <c r="S540" s="22"/>
      <c r="T540" s="115"/>
      <c r="U540" s="115"/>
      <c r="V540" s="22"/>
      <c r="W540" s="22"/>
      <c r="X540" s="22"/>
      <c r="Y540" s="22"/>
      <c r="Z540" s="22"/>
      <c r="AA540" s="115"/>
      <c r="AB540" s="115"/>
      <c r="AC540" s="22"/>
      <c r="AD540" s="22"/>
      <c r="AE540" s="22"/>
      <c r="AF540" s="22"/>
      <c r="AG540" s="22"/>
      <c r="AH540" s="115"/>
    </row>
    <row r="541" spans="6:34" x14ac:dyDescent="0.2">
      <c r="F541" s="1"/>
      <c r="N541" s="115"/>
      <c r="O541" s="22"/>
      <c r="P541" s="22"/>
      <c r="Q541" s="22"/>
      <c r="R541" s="22"/>
      <c r="S541" s="22"/>
      <c r="T541" s="115"/>
      <c r="U541" s="115"/>
      <c r="V541" s="22"/>
      <c r="W541" s="22"/>
      <c r="X541" s="22"/>
      <c r="Y541" s="22"/>
      <c r="Z541" s="22"/>
      <c r="AA541" s="115"/>
      <c r="AB541" s="115"/>
      <c r="AC541" s="22"/>
      <c r="AD541" s="22"/>
      <c r="AE541" s="22"/>
      <c r="AF541" s="22"/>
      <c r="AG541" s="22"/>
      <c r="AH541" s="115"/>
    </row>
    <row r="542" spans="6:34" x14ac:dyDescent="0.2">
      <c r="F542" s="1"/>
      <c r="N542" s="115"/>
      <c r="O542" s="22"/>
      <c r="P542" s="22"/>
      <c r="Q542" s="22"/>
      <c r="R542" s="22"/>
      <c r="S542" s="22"/>
      <c r="T542" s="115"/>
      <c r="U542" s="115"/>
      <c r="V542" s="22"/>
      <c r="W542" s="22"/>
      <c r="X542" s="22"/>
      <c r="Y542" s="22"/>
      <c r="Z542" s="22"/>
      <c r="AA542" s="115"/>
      <c r="AB542" s="115"/>
      <c r="AC542" s="22"/>
      <c r="AD542" s="22"/>
      <c r="AE542" s="22"/>
      <c r="AF542" s="22"/>
      <c r="AG542" s="22"/>
      <c r="AH542" s="115"/>
    </row>
    <row r="543" spans="6:34" x14ac:dyDescent="0.2">
      <c r="F543" s="1"/>
      <c r="N543" s="115"/>
      <c r="O543" s="22"/>
      <c r="P543" s="22"/>
      <c r="Q543" s="22"/>
      <c r="R543" s="22"/>
      <c r="S543" s="22"/>
      <c r="T543" s="115"/>
      <c r="U543" s="115"/>
      <c r="V543" s="22"/>
      <c r="W543" s="22"/>
      <c r="X543" s="22"/>
      <c r="Y543" s="22"/>
      <c r="Z543" s="22"/>
      <c r="AA543" s="115"/>
      <c r="AB543" s="115"/>
      <c r="AC543" s="22"/>
      <c r="AD543" s="22"/>
      <c r="AE543" s="22"/>
      <c r="AF543" s="22"/>
      <c r="AG543" s="22"/>
      <c r="AH543" s="115"/>
    </row>
    <row r="544" spans="6:34" x14ac:dyDescent="0.2">
      <c r="F544" s="1"/>
      <c r="N544" s="115"/>
      <c r="O544" s="22"/>
      <c r="P544" s="22"/>
      <c r="Q544" s="22"/>
      <c r="R544" s="22"/>
      <c r="S544" s="22"/>
      <c r="T544" s="115"/>
      <c r="U544" s="115"/>
      <c r="V544" s="22"/>
      <c r="W544" s="22"/>
      <c r="X544" s="22"/>
      <c r="Y544" s="22"/>
      <c r="Z544" s="22"/>
      <c r="AA544" s="115"/>
      <c r="AB544" s="115"/>
      <c r="AC544" s="22"/>
      <c r="AD544" s="22"/>
      <c r="AE544" s="22"/>
      <c r="AF544" s="22"/>
      <c r="AG544" s="22"/>
      <c r="AH544" s="115"/>
    </row>
    <row r="545" spans="6:34" x14ac:dyDescent="0.2">
      <c r="F545" s="1"/>
      <c r="N545" s="115"/>
      <c r="O545" s="22"/>
      <c r="P545" s="22"/>
      <c r="Q545" s="22"/>
      <c r="R545" s="22"/>
      <c r="S545" s="22"/>
      <c r="T545" s="115"/>
      <c r="U545" s="115"/>
      <c r="V545" s="22"/>
      <c r="W545" s="22"/>
      <c r="X545" s="22"/>
      <c r="Y545" s="22"/>
      <c r="Z545" s="22"/>
      <c r="AA545" s="115"/>
      <c r="AB545" s="115"/>
      <c r="AC545" s="22"/>
      <c r="AD545" s="22"/>
      <c r="AE545" s="22"/>
      <c r="AF545" s="22"/>
      <c r="AG545" s="22"/>
      <c r="AH545" s="115"/>
    </row>
    <row r="546" spans="6:34" x14ac:dyDescent="0.2">
      <c r="F546" s="1"/>
      <c r="N546" s="115"/>
      <c r="O546" s="22"/>
      <c r="P546" s="22"/>
      <c r="Q546" s="22"/>
      <c r="R546" s="22"/>
      <c r="S546" s="22"/>
      <c r="T546" s="115"/>
      <c r="U546" s="115"/>
      <c r="V546" s="22"/>
      <c r="W546" s="22"/>
      <c r="X546" s="22"/>
      <c r="Y546" s="22"/>
      <c r="Z546" s="22"/>
      <c r="AA546" s="115"/>
      <c r="AB546" s="115"/>
      <c r="AC546" s="22"/>
      <c r="AD546" s="22"/>
      <c r="AE546" s="22"/>
      <c r="AF546" s="22"/>
      <c r="AG546" s="22"/>
      <c r="AH546" s="115"/>
    </row>
    <row r="547" spans="6:34" x14ac:dyDescent="0.2">
      <c r="F547" s="1"/>
      <c r="N547" s="115"/>
      <c r="O547" s="22"/>
      <c r="P547" s="22"/>
      <c r="Q547" s="22"/>
      <c r="R547" s="22"/>
      <c r="S547" s="22"/>
      <c r="T547" s="115"/>
      <c r="U547" s="115"/>
      <c r="V547" s="22"/>
      <c r="W547" s="22"/>
      <c r="X547" s="22"/>
      <c r="Y547" s="22"/>
      <c r="Z547" s="22"/>
      <c r="AA547" s="115"/>
      <c r="AB547" s="115"/>
      <c r="AC547" s="22"/>
      <c r="AD547" s="22"/>
      <c r="AE547" s="22"/>
      <c r="AF547" s="22"/>
      <c r="AG547" s="22"/>
      <c r="AH547" s="115"/>
    </row>
    <row r="548" spans="6:34" x14ac:dyDescent="0.2">
      <c r="F548" s="1"/>
      <c r="N548" s="115"/>
      <c r="O548" s="22"/>
      <c r="P548" s="22"/>
      <c r="Q548" s="22"/>
      <c r="R548" s="22"/>
      <c r="S548" s="22"/>
      <c r="T548" s="115"/>
      <c r="U548" s="115"/>
      <c r="V548" s="22"/>
      <c r="W548" s="22"/>
      <c r="X548" s="22"/>
      <c r="Y548" s="22"/>
      <c r="Z548" s="22"/>
      <c r="AA548" s="115"/>
      <c r="AB548" s="115"/>
      <c r="AC548" s="22"/>
      <c r="AD548" s="22"/>
      <c r="AE548" s="22"/>
      <c r="AF548" s="22"/>
      <c r="AG548" s="22"/>
      <c r="AH548" s="115"/>
    </row>
    <row r="549" spans="6:34" x14ac:dyDescent="0.2">
      <c r="F549" s="1"/>
      <c r="N549" s="115"/>
      <c r="O549" s="22"/>
      <c r="P549" s="22"/>
      <c r="Q549" s="22"/>
      <c r="R549" s="22"/>
      <c r="S549" s="22"/>
      <c r="T549" s="115"/>
      <c r="U549" s="115"/>
      <c r="V549" s="22"/>
      <c r="W549" s="22"/>
      <c r="X549" s="22"/>
      <c r="Y549" s="22"/>
      <c r="Z549" s="22"/>
      <c r="AA549" s="115"/>
      <c r="AB549" s="115"/>
      <c r="AC549" s="22"/>
      <c r="AD549" s="22"/>
      <c r="AE549" s="22"/>
      <c r="AF549" s="22"/>
      <c r="AG549" s="22"/>
      <c r="AH549" s="115"/>
    </row>
    <row r="550" spans="6:34" x14ac:dyDescent="0.2">
      <c r="F550" s="1"/>
      <c r="N550" s="115"/>
      <c r="O550" s="22"/>
      <c r="P550" s="22"/>
      <c r="Q550" s="22"/>
      <c r="R550" s="22"/>
      <c r="S550" s="22"/>
      <c r="T550" s="115"/>
      <c r="U550" s="115"/>
      <c r="V550" s="22"/>
      <c r="W550" s="22"/>
      <c r="X550" s="22"/>
      <c r="Y550" s="22"/>
      <c r="Z550" s="22"/>
      <c r="AA550" s="115"/>
      <c r="AB550" s="115"/>
      <c r="AC550" s="22"/>
      <c r="AD550" s="22"/>
      <c r="AE550" s="22"/>
      <c r="AF550" s="22"/>
      <c r="AG550" s="22"/>
      <c r="AH550" s="115"/>
    </row>
    <row r="551" spans="6:34" x14ac:dyDescent="0.2">
      <c r="F551" s="1"/>
      <c r="N551" s="115"/>
      <c r="O551" s="22"/>
      <c r="P551" s="22"/>
      <c r="Q551" s="22"/>
      <c r="R551" s="22"/>
      <c r="S551" s="22"/>
      <c r="T551" s="115"/>
      <c r="U551" s="115"/>
      <c r="V551" s="22"/>
      <c r="W551" s="22"/>
      <c r="X551" s="22"/>
      <c r="Y551" s="22"/>
      <c r="Z551" s="22"/>
      <c r="AA551" s="115"/>
      <c r="AB551" s="115"/>
      <c r="AC551" s="22"/>
      <c r="AD551" s="22"/>
      <c r="AE551" s="22"/>
      <c r="AF551" s="22"/>
      <c r="AG551" s="22"/>
      <c r="AH551" s="115"/>
    </row>
    <row r="552" spans="6:34" x14ac:dyDescent="0.2">
      <c r="F552" s="1"/>
      <c r="N552" s="115"/>
      <c r="O552" s="22"/>
      <c r="P552" s="22"/>
      <c r="Q552" s="22"/>
      <c r="R552" s="22"/>
      <c r="S552" s="22"/>
      <c r="T552" s="115"/>
      <c r="U552" s="115"/>
      <c r="V552" s="22"/>
      <c r="W552" s="22"/>
      <c r="X552" s="22"/>
      <c r="Y552" s="22"/>
      <c r="Z552" s="22"/>
      <c r="AA552" s="115"/>
      <c r="AB552" s="115"/>
      <c r="AC552" s="22"/>
      <c r="AD552" s="22"/>
      <c r="AE552" s="22"/>
      <c r="AF552" s="22"/>
      <c r="AG552" s="22"/>
      <c r="AH552" s="115"/>
    </row>
    <row r="553" spans="6:34" x14ac:dyDescent="0.2">
      <c r="F553" s="1"/>
      <c r="N553" s="115"/>
      <c r="O553" s="22"/>
      <c r="P553" s="22"/>
      <c r="Q553" s="22"/>
      <c r="R553" s="22"/>
      <c r="S553" s="22"/>
      <c r="T553" s="115"/>
      <c r="U553" s="115"/>
      <c r="V553" s="22"/>
      <c r="W553" s="22"/>
      <c r="X553" s="22"/>
      <c r="Y553" s="22"/>
      <c r="Z553" s="22"/>
      <c r="AA553" s="115"/>
      <c r="AB553" s="115"/>
      <c r="AC553" s="22"/>
      <c r="AD553" s="22"/>
      <c r="AE553" s="22"/>
      <c r="AF553" s="22"/>
      <c r="AG553" s="22"/>
      <c r="AH553" s="115"/>
    </row>
    <row r="554" spans="6:34" x14ac:dyDescent="0.2">
      <c r="F554" s="1"/>
      <c r="N554" s="115"/>
      <c r="O554" s="22"/>
      <c r="P554" s="22"/>
      <c r="Q554" s="22"/>
      <c r="R554" s="22"/>
      <c r="S554" s="22"/>
      <c r="T554" s="115"/>
      <c r="U554" s="115"/>
      <c r="V554" s="22"/>
      <c r="W554" s="22"/>
      <c r="X554" s="22"/>
      <c r="Y554" s="22"/>
      <c r="Z554" s="22"/>
      <c r="AA554" s="115"/>
      <c r="AB554" s="115"/>
      <c r="AC554" s="22"/>
      <c r="AD554" s="22"/>
      <c r="AE554" s="22"/>
      <c r="AF554" s="22"/>
      <c r="AG554" s="22"/>
      <c r="AH554" s="115"/>
    </row>
    <row r="555" spans="6:34" x14ac:dyDescent="0.2">
      <c r="F555" s="1"/>
      <c r="N555" s="115"/>
      <c r="O555" s="22"/>
      <c r="P555" s="22"/>
      <c r="Q555" s="22"/>
      <c r="R555" s="22"/>
      <c r="S555" s="22"/>
      <c r="T555" s="115"/>
      <c r="U555" s="115"/>
      <c r="V555" s="22"/>
      <c r="W555" s="22"/>
      <c r="X555" s="22"/>
      <c r="Y555" s="22"/>
      <c r="Z555" s="22"/>
      <c r="AA555" s="115"/>
      <c r="AB555" s="115"/>
      <c r="AC555" s="22"/>
      <c r="AD555" s="22"/>
      <c r="AE555" s="22"/>
      <c r="AF555" s="22"/>
      <c r="AG555" s="22"/>
      <c r="AH555" s="115"/>
    </row>
    <row r="556" spans="6:34" x14ac:dyDescent="0.2">
      <c r="F556" s="1"/>
      <c r="N556" s="115"/>
      <c r="O556" s="22"/>
      <c r="P556" s="22"/>
      <c r="Q556" s="22"/>
      <c r="R556" s="22"/>
      <c r="S556" s="22"/>
      <c r="T556" s="115"/>
      <c r="U556" s="115"/>
      <c r="V556" s="22"/>
      <c r="W556" s="22"/>
      <c r="X556" s="22"/>
      <c r="Y556" s="22"/>
      <c r="Z556" s="22"/>
      <c r="AA556" s="115"/>
      <c r="AB556" s="115"/>
      <c r="AC556" s="22"/>
      <c r="AD556" s="22"/>
      <c r="AE556" s="22"/>
      <c r="AF556" s="22"/>
      <c r="AG556" s="22"/>
      <c r="AH556" s="115"/>
    </row>
    <row r="557" spans="6:34" x14ac:dyDescent="0.2">
      <c r="F557" s="1"/>
      <c r="N557" s="115"/>
      <c r="O557" s="22"/>
      <c r="P557" s="22"/>
      <c r="Q557" s="22"/>
      <c r="R557" s="22"/>
      <c r="S557" s="22"/>
      <c r="T557" s="115"/>
      <c r="U557" s="115"/>
      <c r="V557" s="22"/>
      <c r="W557" s="22"/>
      <c r="X557" s="22"/>
      <c r="Y557" s="22"/>
      <c r="Z557" s="22"/>
      <c r="AA557" s="115"/>
      <c r="AB557" s="115"/>
      <c r="AC557" s="22"/>
      <c r="AD557" s="22"/>
      <c r="AE557" s="22"/>
      <c r="AF557" s="22"/>
      <c r="AG557" s="22"/>
      <c r="AH557" s="115"/>
    </row>
    <row r="558" spans="6:34" x14ac:dyDescent="0.2">
      <c r="F558" s="1"/>
      <c r="N558" s="115"/>
      <c r="O558" s="22"/>
      <c r="P558" s="22"/>
      <c r="Q558" s="22"/>
      <c r="R558" s="22"/>
      <c r="S558" s="22"/>
      <c r="T558" s="115"/>
      <c r="U558" s="115"/>
      <c r="V558" s="22"/>
      <c r="W558" s="22"/>
      <c r="X558" s="22"/>
      <c r="Y558" s="22"/>
      <c r="Z558" s="22"/>
      <c r="AA558" s="115"/>
      <c r="AB558" s="115"/>
      <c r="AC558" s="22"/>
      <c r="AD558" s="22"/>
      <c r="AE558" s="22"/>
      <c r="AF558" s="22"/>
      <c r="AG558" s="22"/>
      <c r="AH558" s="115"/>
    </row>
    <row r="559" spans="6:34" x14ac:dyDescent="0.2">
      <c r="F559" s="1"/>
      <c r="N559" s="115"/>
      <c r="O559" s="22"/>
      <c r="P559" s="22"/>
      <c r="Q559" s="22"/>
      <c r="R559" s="22"/>
      <c r="S559" s="22"/>
      <c r="T559" s="115"/>
      <c r="U559" s="115"/>
      <c r="V559" s="22"/>
      <c r="W559" s="22"/>
      <c r="X559" s="22"/>
      <c r="Y559" s="22"/>
      <c r="Z559" s="22"/>
      <c r="AA559" s="115"/>
      <c r="AB559" s="115"/>
      <c r="AC559" s="22"/>
      <c r="AD559" s="22"/>
      <c r="AE559" s="22"/>
      <c r="AF559" s="22"/>
      <c r="AG559" s="22"/>
      <c r="AH559" s="115"/>
    </row>
    <row r="560" spans="6:34" x14ac:dyDescent="0.2">
      <c r="F560" s="1"/>
      <c r="N560" s="115"/>
      <c r="O560" s="22"/>
      <c r="P560" s="22"/>
      <c r="Q560" s="22"/>
      <c r="R560" s="22"/>
      <c r="S560" s="22"/>
      <c r="T560" s="115"/>
      <c r="U560" s="115"/>
      <c r="V560" s="22"/>
      <c r="W560" s="22"/>
      <c r="X560" s="22"/>
      <c r="Y560" s="22"/>
      <c r="Z560" s="22"/>
      <c r="AA560" s="115"/>
      <c r="AB560" s="115"/>
      <c r="AC560" s="22"/>
      <c r="AD560" s="22"/>
      <c r="AE560" s="22"/>
      <c r="AF560" s="22"/>
      <c r="AG560" s="22"/>
      <c r="AH560" s="115"/>
    </row>
    <row r="561" spans="6:34" x14ac:dyDescent="0.2">
      <c r="F561" s="1"/>
      <c r="N561" s="115"/>
      <c r="O561" s="22"/>
      <c r="P561" s="22"/>
      <c r="Q561" s="22"/>
      <c r="R561" s="22"/>
      <c r="S561" s="22"/>
      <c r="T561" s="115"/>
      <c r="U561" s="115"/>
      <c r="V561" s="22"/>
      <c r="W561" s="22"/>
      <c r="X561" s="22"/>
      <c r="Y561" s="22"/>
      <c r="Z561" s="22"/>
      <c r="AA561" s="115"/>
      <c r="AB561" s="115"/>
      <c r="AC561" s="22"/>
      <c r="AD561" s="22"/>
      <c r="AE561" s="22"/>
      <c r="AF561" s="22"/>
      <c r="AG561" s="22"/>
      <c r="AH561" s="115"/>
    </row>
    <row r="562" spans="6:34" x14ac:dyDescent="0.2">
      <c r="F562" s="1"/>
      <c r="N562" s="115"/>
      <c r="O562" s="22"/>
      <c r="P562" s="22"/>
      <c r="Q562" s="22"/>
      <c r="R562" s="22"/>
      <c r="S562" s="22"/>
      <c r="T562" s="115"/>
      <c r="U562" s="115"/>
      <c r="V562" s="22"/>
      <c r="W562" s="22"/>
      <c r="X562" s="22"/>
      <c r="Y562" s="22"/>
      <c r="Z562" s="22"/>
      <c r="AA562" s="115"/>
      <c r="AB562" s="115"/>
      <c r="AC562" s="22"/>
      <c r="AD562" s="22"/>
      <c r="AE562" s="22"/>
      <c r="AF562" s="22"/>
      <c r="AG562" s="22"/>
      <c r="AH562" s="115"/>
    </row>
    <row r="563" spans="6:34" x14ac:dyDescent="0.2">
      <c r="F563" s="1"/>
      <c r="N563" s="115"/>
      <c r="O563" s="22"/>
      <c r="P563" s="22"/>
      <c r="Q563" s="22"/>
      <c r="R563" s="22"/>
      <c r="S563" s="22"/>
      <c r="T563" s="115"/>
      <c r="U563" s="115"/>
      <c r="V563" s="22"/>
      <c r="W563" s="22"/>
      <c r="X563" s="22"/>
      <c r="Y563" s="22"/>
      <c r="Z563" s="22"/>
      <c r="AA563" s="115"/>
      <c r="AB563" s="115"/>
      <c r="AC563" s="22"/>
      <c r="AD563" s="22"/>
      <c r="AE563" s="22"/>
      <c r="AF563" s="22"/>
      <c r="AG563" s="22"/>
      <c r="AH563" s="115"/>
    </row>
    <row r="564" spans="6:34" x14ac:dyDescent="0.2">
      <c r="F564" s="1"/>
      <c r="N564" s="115"/>
      <c r="O564" s="22"/>
      <c r="P564" s="22"/>
      <c r="Q564" s="22"/>
      <c r="R564" s="22"/>
      <c r="S564" s="22"/>
      <c r="T564" s="115"/>
      <c r="U564" s="115"/>
      <c r="V564" s="22"/>
      <c r="W564" s="22"/>
      <c r="X564" s="22"/>
      <c r="Y564" s="22"/>
      <c r="Z564" s="22"/>
      <c r="AA564" s="115"/>
      <c r="AB564" s="115"/>
      <c r="AC564" s="22"/>
      <c r="AD564" s="22"/>
      <c r="AE564" s="22"/>
      <c r="AF564" s="22"/>
      <c r="AG564" s="22"/>
      <c r="AH564" s="115"/>
    </row>
    <row r="565" spans="6:34" x14ac:dyDescent="0.2">
      <c r="F565" s="1"/>
      <c r="N565" s="115"/>
      <c r="O565" s="22"/>
      <c r="P565" s="22"/>
      <c r="Q565" s="22"/>
      <c r="R565" s="22"/>
      <c r="S565" s="22"/>
      <c r="T565" s="115"/>
      <c r="U565" s="115"/>
      <c r="V565" s="22"/>
      <c r="W565" s="22"/>
      <c r="X565" s="22"/>
      <c r="Y565" s="22"/>
      <c r="Z565" s="22"/>
      <c r="AA565" s="115"/>
      <c r="AB565" s="115"/>
      <c r="AC565" s="22"/>
      <c r="AD565" s="22"/>
      <c r="AE565" s="22"/>
      <c r="AF565" s="22"/>
      <c r="AG565" s="22"/>
      <c r="AH565" s="115"/>
    </row>
    <row r="566" spans="6:34" x14ac:dyDescent="0.2">
      <c r="F566" s="1"/>
      <c r="N566" s="115"/>
      <c r="O566" s="22"/>
      <c r="P566" s="22"/>
      <c r="Q566" s="22"/>
      <c r="R566" s="22"/>
      <c r="S566" s="22"/>
      <c r="T566" s="115"/>
      <c r="U566" s="115"/>
      <c r="V566" s="22"/>
      <c r="W566" s="22"/>
      <c r="X566" s="22"/>
      <c r="Y566" s="22"/>
      <c r="Z566" s="22"/>
      <c r="AA566" s="115"/>
      <c r="AB566" s="115"/>
      <c r="AC566" s="22"/>
      <c r="AD566" s="22"/>
      <c r="AE566" s="22"/>
      <c r="AF566" s="22"/>
      <c r="AG566" s="22"/>
      <c r="AH566" s="115"/>
    </row>
    <row r="567" spans="6:34" x14ac:dyDescent="0.2">
      <c r="F567" s="1"/>
      <c r="N567" s="115"/>
      <c r="O567" s="22"/>
      <c r="P567" s="22"/>
      <c r="Q567" s="22"/>
      <c r="R567" s="22"/>
      <c r="S567" s="22"/>
      <c r="T567" s="115"/>
      <c r="U567" s="115"/>
      <c r="V567" s="22"/>
      <c r="W567" s="22"/>
      <c r="X567" s="22"/>
      <c r="Y567" s="22"/>
      <c r="Z567" s="22"/>
      <c r="AA567" s="115"/>
      <c r="AB567" s="115"/>
      <c r="AC567" s="22"/>
      <c r="AD567" s="22"/>
      <c r="AE567" s="22"/>
      <c r="AF567" s="22"/>
      <c r="AG567" s="22"/>
      <c r="AH567" s="115"/>
    </row>
    <row r="568" spans="6:34" x14ac:dyDescent="0.2">
      <c r="F568" s="1"/>
      <c r="N568" s="115"/>
      <c r="O568" s="22"/>
      <c r="P568" s="22"/>
      <c r="Q568" s="22"/>
      <c r="R568" s="22"/>
      <c r="S568" s="22"/>
      <c r="T568" s="115"/>
      <c r="U568" s="115"/>
      <c r="V568" s="22"/>
      <c r="W568" s="22"/>
      <c r="X568" s="22"/>
      <c r="Y568" s="22"/>
      <c r="Z568" s="22"/>
      <c r="AA568" s="115"/>
      <c r="AB568" s="115"/>
      <c r="AC568" s="22"/>
      <c r="AD568" s="22"/>
      <c r="AE568" s="22"/>
      <c r="AF568" s="22"/>
      <c r="AG568" s="22"/>
      <c r="AH568" s="115"/>
    </row>
    <row r="569" spans="6:34" x14ac:dyDescent="0.2">
      <c r="F569" s="1"/>
      <c r="N569" s="115"/>
      <c r="O569" s="22"/>
      <c r="P569" s="22"/>
      <c r="Q569" s="22"/>
      <c r="R569" s="22"/>
      <c r="S569" s="22"/>
      <c r="T569" s="115"/>
      <c r="U569" s="115"/>
      <c r="V569" s="22"/>
      <c r="W569" s="22"/>
      <c r="X569" s="22"/>
      <c r="Y569" s="22"/>
      <c r="Z569" s="22"/>
      <c r="AA569" s="115"/>
      <c r="AB569" s="115"/>
      <c r="AC569" s="22"/>
      <c r="AD569" s="22"/>
      <c r="AE569" s="22"/>
      <c r="AF569" s="22"/>
      <c r="AG569" s="22"/>
      <c r="AH569" s="115"/>
    </row>
    <row r="570" spans="6:34" x14ac:dyDescent="0.2">
      <c r="F570" s="1"/>
      <c r="N570" s="115"/>
      <c r="O570" s="22"/>
      <c r="P570" s="22"/>
      <c r="Q570" s="22"/>
      <c r="R570" s="22"/>
      <c r="S570" s="22"/>
      <c r="T570" s="115"/>
      <c r="U570" s="115"/>
      <c r="V570" s="22"/>
      <c r="W570" s="22"/>
      <c r="X570" s="22"/>
      <c r="Y570" s="22"/>
      <c r="Z570" s="22"/>
      <c r="AA570" s="115"/>
      <c r="AB570" s="115"/>
      <c r="AC570" s="22"/>
      <c r="AD570" s="22"/>
      <c r="AE570" s="22"/>
      <c r="AF570" s="22"/>
      <c r="AG570" s="22"/>
      <c r="AH570" s="115"/>
    </row>
    <row r="571" spans="6:34" x14ac:dyDescent="0.2">
      <c r="F571" s="1"/>
      <c r="N571" s="115"/>
      <c r="O571" s="22"/>
      <c r="P571" s="22"/>
      <c r="Q571" s="22"/>
      <c r="R571" s="22"/>
      <c r="S571" s="22"/>
      <c r="T571" s="115"/>
      <c r="U571" s="115"/>
      <c r="V571" s="22"/>
      <c r="W571" s="22"/>
      <c r="X571" s="22"/>
      <c r="Y571" s="22"/>
      <c r="Z571" s="22"/>
      <c r="AA571" s="115"/>
      <c r="AB571" s="115"/>
      <c r="AC571" s="22"/>
      <c r="AD571" s="22"/>
      <c r="AE571" s="22"/>
      <c r="AF571" s="22"/>
      <c r="AG571" s="22"/>
      <c r="AH571" s="115"/>
    </row>
    <row r="572" spans="6:34" x14ac:dyDescent="0.2">
      <c r="F572" s="1"/>
      <c r="N572" s="115"/>
      <c r="O572" s="22"/>
      <c r="P572" s="22"/>
      <c r="Q572" s="22"/>
      <c r="R572" s="22"/>
      <c r="S572" s="22"/>
      <c r="T572" s="115"/>
      <c r="U572" s="115"/>
      <c r="V572" s="22"/>
      <c r="W572" s="22"/>
      <c r="X572" s="22"/>
      <c r="Y572" s="22"/>
      <c r="Z572" s="22"/>
      <c r="AA572" s="115"/>
      <c r="AB572" s="115"/>
      <c r="AC572" s="22"/>
      <c r="AD572" s="22"/>
      <c r="AE572" s="22"/>
      <c r="AF572" s="22"/>
      <c r="AG572" s="22"/>
      <c r="AH572" s="115"/>
    </row>
    <row r="573" spans="6:34" x14ac:dyDescent="0.2">
      <c r="F573" s="1"/>
      <c r="N573" s="115"/>
      <c r="O573" s="22"/>
      <c r="P573" s="22"/>
      <c r="Q573" s="22"/>
      <c r="R573" s="22"/>
      <c r="S573" s="22"/>
      <c r="T573" s="115"/>
      <c r="U573" s="115"/>
      <c r="V573" s="22"/>
      <c r="W573" s="22"/>
      <c r="X573" s="22"/>
      <c r="Y573" s="22"/>
      <c r="Z573" s="22"/>
      <c r="AA573" s="115"/>
      <c r="AB573" s="115"/>
      <c r="AC573" s="22"/>
      <c r="AD573" s="22"/>
      <c r="AE573" s="22"/>
      <c r="AF573" s="22"/>
      <c r="AG573" s="22"/>
      <c r="AH573" s="115"/>
    </row>
    <row r="574" spans="6:34" x14ac:dyDescent="0.2">
      <c r="F574" s="1"/>
      <c r="N574" s="115"/>
      <c r="O574" s="22"/>
      <c r="P574" s="22"/>
      <c r="Q574" s="22"/>
      <c r="R574" s="22"/>
      <c r="S574" s="22"/>
      <c r="T574" s="115"/>
      <c r="U574" s="115"/>
      <c r="V574" s="22"/>
      <c r="W574" s="22"/>
      <c r="X574" s="22"/>
      <c r="Y574" s="22"/>
      <c r="Z574" s="22"/>
      <c r="AA574" s="115"/>
      <c r="AB574" s="115"/>
      <c r="AC574" s="22"/>
      <c r="AD574" s="22"/>
      <c r="AE574" s="22"/>
      <c r="AF574" s="22"/>
      <c r="AG574" s="22"/>
      <c r="AH574" s="115"/>
    </row>
    <row r="575" spans="6:34" x14ac:dyDescent="0.2">
      <c r="F575" s="1"/>
      <c r="N575" s="115"/>
      <c r="O575" s="22"/>
      <c r="P575" s="22"/>
      <c r="Q575" s="22"/>
      <c r="R575" s="22"/>
      <c r="S575" s="22"/>
      <c r="T575" s="115"/>
      <c r="U575" s="115"/>
      <c r="V575" s="22"/>
      <c r="W575" s="22"/>
      <c r="X575" s="22"/>
      <c r="Y575" s="22"/>
      <c r="Z575" s="22"/>
      <c r="AA575" s="115"/>
      <c r="AB575" s="115"/>
      <c r="AC575" s="22"/>
      <c r="AD575" s="22"/>
      <c r="AE575" s="22"/>
      <c r="AF575" s="22"/>
      <c r="AG575" s="22"/>
      <c r="AH575" s="115"/>
    </row>
    <row r="576" spans="6:34" x14ac:dyDescent="0.2">
      <c r="F576" s="1"/>
      <c r="N576" s="115"/>
      <c r="O576" s="22"/>
      <c r="P576" s="22"/>
      <c r="Q576" s="22"/>
      <c r="R576" s="22"/>
      <c r="S576" s="22"/>
      <c r="T576" s="115"/>
      <c r="U576" s="115"/>
      <c r="V576" s="22"/>
      <c r="W576" s="22"/>
      <c r="X576" s="22"/>
      <c r="Y576" s="22"/>
      <c r="Z576" s="22"/>
      <c r="AA576" s="115"/>
      <c r="AB576" s="115"/>
      <c r="AC576" s="22"/>
      <c r="AD576" s="22"/>
      <c r="AE576" s="22"/>
      <c r="AF576" s="22"/>
      <c r="AG576" s="22"/>
      <c r="AH576" s="115"/>
    </row>
    <row r="577" spans="6:34" x14ac:dyDescent="0.2">
      <c r="F577" s="1"/>
      <c r="N577" s="115"/>
      <c r="O577" s="22"/>
      <c r="P577" s="22"/>
      <c r="Q577" s="22"/>
      <c r="R577" s="22"/>
      <c r="S577" s="22"/>
      <c r="T577" s="115"/>
      <c r="U577" s="115"/>
      <c r="V577" s="22"/>
      <c r="W577" s="22"/>
      <c r="X577" s="22"/>
      <c r="Y577" s="22"/>
      <c r="Z577" s="22"/>
      <c r="AA577" s="115"/>
      <c r="AB577" s="115"/>
      <c r="AC577" s="22"/>
      <c r="AD577" s="22"/>
      <c r="AE577" s="22"/>
      <c r="AF577" s="22"/>
      <c r="AG577" s="22"/>
      <c r="AH577" s="115"/>
    </row>
    <row r="578" spans="6:34" x14ac:dyDescent="0.2">
      <c r="F578" s="1"/>
      <c r="N578" s="115"/>
      <c r="O578" s="22"/>
      <c r="P578" s="22"/>
      <c r="Q578" s="22"/>
      <c r="R578" s="22"/>
      <c r="S578" s="22"/>
      <c r="T578" s="115"/>
      <c r="U578" s="115"/>
      <c r="V578" s="22"/>
      <c r="W578" s="22"/>
      <c r="X578" s="22"/>
      <c r="Y578" s="22"/>
      <c r="Z578" s="22"/>
      <c r="AA578" s="115"/>
      <c r="AB578" s="115"/>
      <c r="AC578" s="22"/>
      <c r="AD578" s="22"/>
      <c r="AE578" s="22"/>
      <c r="AF578" s="22"/>
      <c r="AG578" s="22"/>
      <c r="AH578" s="115"/>
    </row>
    <row r="579" spans="6:34" x14ac:dyDescent="0.2">
      <c r="F579" s="1"/>
      <c r="N579" s="115"/>
      <c r="O579" s="22"/>
      <c r="P579" s="22"/>
      <c r="Q579" s="22"/>
      <c r="R579" s="22"/>
      <c r="S579" s="22"/>
      <c r="T579" s="115"/>
      <c r="U579" s="115"/>
      <c r="V579" s="22"/>
      <c r="W579" s="22"/>
      <c r="X579" s="22"/>
      <c r="Y579" s="22"/>
      <c r="Z579" s="22"/>
      <c r="AA579" s="115"/>
      <c r="AB579" s="115"/>
      <c r="AC579" s="22"/>
      <c r="AD579" s="22"/>
      <c r="AE579" s="22"/>
      <c r="AF579" s="22"/>
      <c r="AG579" s="22"/>
      <c r="AH579" s="115"/>
    </row>
    <row r="580" spans="6:34" x14ac:dyDescent="0.2">
      <c r="F580" s="1"/>
      <c r="N580" s="115"/>
      <c r="O580" s="22"/>
      <c r="P580" s="22"/>
      <c r="Q580" s="22"/>
      <c r="R580" s="22"/>
      <c r="S580" s="22"/>
      <c r="T580" s="115"/>
      <c r="U580" s="115"/>
      <c r="V580" s="22"/>
      <c r="W580" s="22"/>
      <c r="X580" s="22"/>
      <c r="Y580" s="22"/>
      <c r="Z580" s="22"/>
      <c r="AA580" s="115"/>
      <c r="AB580" s="115"/>
      <c r="AC580" s="22"/>
      <c r="AD580" s="22"/>
      <c r="AE580" s="22"/>
      <c r="AF580" s="22"/>
      <c r="AG580" s="22"/>
      <c r="AH580" s="115"/>
    </row>
    <row r="581" spans="6:34" x14ac:dyDescent="0.2">
      <c r="F581" s="1"/>
      <c r="N581" s="115"/>
      <c r="O581" s="22"/>
      <c r="P581" s="22"/>
      <c r="Q581" s="22"/>
      <c r="R581" s="22"/>
      <c r="S581" s="22"/>
      <c r="T581" s="115"/>
      <c r="U581" s="115"/>
      <c r="V581" s="22"/>
      <c r="W581" s="22"/>
      <c r="X581" s="22"/>
      <c r="Y581" s="22"/>
      <c r="Z581" s="22"/>
      <c r="AA581" s="115"/>
      <c r="AB581" s="115"/>
      <c r="AC581" s="22"/>
      <c r="AD581" s="22"/>
      <c r="AE581" s="22"/>
      <c r="AF581" s="22"/>
      <c r="AG581" s="22"/>
      <c r="AH581" s="115"/>
    </row>
    <row r="582" spans="6:34" x14ac:dyDescent="0.2">
      <c r="F582" s="1"/>
      <c r="N582" s="115"/>
      <c r="O582" s="22"/>
      <c r="P582" s="22"/>
      <c r="Q582" s="22"/>
      <c r="R582" s="22"/>
      <c r="S582" s="22"/>
      <c r="T582" s="115"/>
      <c r="U582" s="115"/>
      <c r="V582" s="22"/>
      <c r="W582" s="22"/>
      <c r="X582" s="22"/>
      <c r="Y582" s="22"/>
      <c r="Z582" s="22"/>
      <c r="AA582" s="115"/>
      <c r="AB582" s="115"/>
      <c r="AC582" s="22"/>
      <c r="AD582" s="22"/>
      <c r="AE582" s="22"/>
      <c r="AF582" s="22"/>
      <c r="AG582" s="22"/>
      <c r="AH582" s="115"/>
    </row>
    <row r="583" spans="6:34" x14ac:dyDescent="0.2">
      <c r="F583" s="1"/>
      <c r="N583" s="115"/>
      <c r="O583" s="22"/>
      <c r="P583" s="22"/>
      <c r="Q583" s="22"/>
      <c r="R583" s="22"/>
      <c r="S583" s="22"/>
      <c r="T583" s="115"/>
      <c r="U583" s="115"/>
      <c r="V583" s="22"/>
      <c r="W583" s="22"/>
      <c r="X583" s="22"/>
      <c r="Y583" s="22"/>
      <c r="Z583" s="22"/>
      <c r="AA583" s="115"/>
      <c r="AB583" s="115"/>
      <c r="AC583" s="22"/>
      <c r="AD583" s="22"/>
      <c r="AE583" s="22"/>
      <c r="AF583" s="22"/>
      <c r="AG583" s="22"/>
      <c r="AH583" s="115"/>
    </row>
    <row r="584" spans="6:34" x14ac:dyDescent="0.2">
      <c r="F584" s="1"/>
      <c r="N584" s="115"/>
      <c r="O584" s="22"/>
      <c r="P584" s="22"/>
      <c r="Q584" s="22"/>
      <c r="R584" s="22"/>
      <c r="S584" s="22"/>
      <c r="T584" s="115"/>
      <c r="U584" s="115"/>
      <c r="V584" s="22"/>
      <c r="W584" s="22"/>
      <c r="X584" s="22"/>
      <c r="Y584" s="22"/>
      <c r="Z584" s="22"/>
      <c r="AA584" s="115"/>
      <c r="AB584" s="115"/>
      <c r="AC584" s="22"/>
      <c r="AD584" s="22"/>
      <c r="AE584" s="22"/>
      <c r="AF584" s="22"/>
      <c r="AG584" s="22"/>
      <c r="AH584" s="115"/>
    </row>
    <row r="585" spans="6:34" x14ac:dyDescent="0.2">
      <c r="F585" s="1"/>
      <c r="N585" s="115"/>
      <c r="O585" s="22"/>
      <c r="P585" s="22"/>
      <c r="Q585" s="22"/>
      <c r="R585" s="22"/>
      <c r="S585" s="22"/>
      <c r="T585" s="115"/>
      <c r="U585" s="115"/>
      <c r="V585" s="22"/>
      <c r="W585" s="22"/>
      <c r="X585" s="22"/>
      <c r="Y585" s="22"/>
      <c r="Z585" s="22"/>
      <c r="AA585" s="115"/>
      <c r="AB585" s="115"/>
      <c r="AC585" s="22"/>
      <c r="AD585" s="22"/>
      <c r="AE585" s="22"/>
      <c r="AF585" s="22"/>
      <c r="AG585" s="22"/>
      <c r="AH585" s="115"/>
    </row>
    <row r="586" spans="6:34" x14ac:dyDescent="0.2">
      <c r="F586" s="1"/>
      <c r="N586" s="115"/>
      <c r="O586" s="22"/>
      <c r="P586" s="22"/>
      <c r="Q586" s="22"/>
      <c r="R586" s="22"/>
      <c r="S586" s="22"/>
      <c r="T586" s="115"/>
      <c r="U586" s="115"/>
      <c r="V586" s="22"/>
      <c r="W586" s="22"/>
      <c r="X586" s="22"/>
      <c r="Y586" s="22"/>
      <c r="Z586" s="22"/>
      <c r="AA586" s="115"/>
      <c r="AB586" s="115"/>
      <c r="AC586" s="22"/>
      <c r="AD586" s="22"/>
      <c r="AE586" s="22"/>
      <c r="AF586" s="22"/>
      <c r="AG586" s="22"/>
      <c r="AH586" s="115"/>
    </row>
    <row r="587" spans="6:34" x14ac:dyDescent="0.2">
      <c r="F587" s="1"/>
      <c r="N587" s="115"/>
      <c r="O587" s="22"/>
      <c r="P587" s="22"/>
      <c r="Q587" s="22"/>
      <c r="R587" s="22"/>
      <c r="S587" s="22"/>
      <c r="T587" s="115"/>
      <c r="U587" s="115"/>
      <c r="V587" s="22"/>
      <c r="W587" s="22"/>
      <c r="X587" s="22"/>
      <c r="Y587" s="22"/>
      <c r="Z587" s="22"/>
      <c r="AA587" s="115"/>
      <c r="AB587" s="115"/>
      <c r="AC587" s="22"/>
      <c r="AD587" s="22"/>
      <c r="AE587" s="22"/>
      <c r="AF587" s="22"/>
      <c r="AG587" s="22"/>
      <c r="AH587" s="115"/>
    </row>
    <row r="588" spans="6:34" x14ac:dyDescent="0.2">
      <c r="F588" s="1"/>
      <c r="N588" s="115"/>
      <c r="O588" s="22"/>
      <c r="P588" s="22"/>
      <c r="Q588" s="22"/>
      <c r="R588" s="22"/>
      <c r="S588" s="22"/>
      <c r="T588" s="115"/>
      <c r="U588" s="115"/>
      <c r="V588" s="22"/>
      <c r="W588" s="22"/>
      <c r="X588" s="22"/>
      <c r="Y588" s="22"/>
      <c r="Z588" s="22"/>
      <c r="AA588" s="115"/>
      <c r="AB588" s="115"/>
      <c r="AC588" s="22"/>
      <c r="AD588" s="22"/>
      <c r="AE588" s="22"/>
      <c r="AF588" s="22"/>
      <c r="AG588" s="22"/>
      <c r="AH588" s="115"/>
    </row>
    <row r="589" spans="6:34" x14ac:dyDescent="0.2">
      <c r="F589" s="1"/>
      <c r="N589" s="115"/>
      <c r="O589" s="22"/>
      <c r="P589" s="22"/>
      <c r="Q589" s="22"/>
      <c r="R589" s="22"/>
      <c r="S589" s="22"/>
      <c r="T589" s="115"/>
      <c r="U589" s="115"/>
      <c r="V589" s="22"/>
      <c r="W589" s="22"/>
      <c r="X589" s="22"/>
      <c r="Y589" s="22"/>
      <c r="Z589" s="22"/>
      <c r="AA589" s="115"/>
      <c r="AB589" s="115"/>
      <c r="AC589" s="22"/>
      <c r="AD589" s="22"/>
      <c r="AE589" s="22"/>
      <c r="AF589" s="22"/>
      <c r="AG589" s="22"/>
      <c r="AH589" s="115"/>
    </row>
    <row r="590" spans="6:34" x14ac:dyDescent="0.2">
      <c r="F590" s="1"/>
      <c r="N590" s="115"/>
      <c r="O590" s="22"/>
      <c r="P590" s="22"/>
      <c r="Q590" s="22"/>
      <c r="R590" s="22"/>
      <c r="S590" s="22"/>
      <c r="T590" s="115"/>
      <c r="U590" s="115"/>
      <c r="V590" s="22"/>
      <c r="W590" s="22"/>
      <c r="X590" s="22"/>
      <c r="Y590" s="22"/>
      <c r="Z590" s="22"/>
      <c r="AA590" s="115"/>
      <c r="AB590" s="115"/>
      <c r="AC590" s="22"/>
      <c r="AD590" s="22"/>
      <c r="AE590" s="22"/>
      <c r="AF590" s="22"/>
      <c r="AG590" s="22"/>
      <c r="AH590" s="115"/>
    </row>
    <row r="591" spans="6:34" x14ac:dyDescent="0.2">
      <c r="F591" s="1"/>
      <c r="N591" s="115"/>
      <c r="O591" s="22"/>
      <c r="P591" s="22"/>
      <c r="Q591" s="22"/>
      <c r="R591" s="22"/>
      <c r="S591" s="22"/>
      <c r="T591" s="115"/>
      <c r="U591" s="115"/>
      <c r="V591" s="22"/>
      <c r="W591" s="22"/>
      <c r="X591" s="22"/>
      <c r="Y591" s="22"/>
      <c r="Z591" s="22"/>
      <c r="AA591" s="115"/>
      <c r="AB591" s="115"/>
      <c r="AC591" s="22"/>
      <c r="AD591" s="22"/>
      <c r="AE591" s="22"/>
      <c r="AF591" s="22"/>
      <c r="AG591" s="22"/>
      <c r="AH591" s="115"/>
    </row>
    <row r="592" spans="6:34" x14ac:dyDescent="0.2">
      <c r="F592" s="1"/>
      <c r="N592" s="115"/>
      <c r="O592" s="22"/>
      <c r="P592" s="22"/>
      <c r="Q592" s="22"/>
      <c r="R592" s="22"/>
      <c r="S592" s="22"/>
      <c r="T592" s="115"/>
      <c r="U592" s="115"/>
      <c r="V592" s="22"/>
      <c r="W592" s="22"/>
      <c r="X592" s="22"/>
      <c r="Y592" s="22"/>
      <c r="Z592" s="22"/>
      <c r="AA592" s="115"/>
      <c r="AB592" s="115"/>
      <c r="AC592" s="22"/>
      <c r="AD592" s="22"/>
      <c r="AE592" s="22"/>
      <c r="AF592" s="22"/>
      <c r="AG592" s="22"/>
      <c r="AH592" s="115"/>
    </row>
    <row r="593" spans="6:34" x14ac:dyDescent="0.2">
      <c r="F593" s="1"/>
      <c r="N593" s="115"/>
      <c r="O593" s="22"/>
      <c r="P593" s="22"/>
      <c r="Q593" s="22"/>
      <c r="R593" s="22"/>
      <c r="S593" s="22"/>
      <c r="T593" s="115"/>
      <c r="U593" s="115"/>
      <c r="V593" s="22"/>
      <c r="W593" s="22"/>
      <c r="X593" s="22"/>
      <c r="Y593" s="22"/>
      <c r="Z593" s="22"/>
      <c r="AA593" s="115"/>
      <c r="AB593" s="115"/>
      <c r="AC593" s="22"/>
      <c r="AD593" s="22"/>
      <c r="AE593" s="22"/>
      <c r="AF593" s="22"/>
      <c r="AG593" s="22"/>
      <c r="AH593" s="115"/>
    </row>
    <row r="594" spans="6:34" x14ac:dyDescent="0.2">
      <c r="F594" s="1"/>
      <c r="N594" s="115"/>
      <c r="O594" s="22"/>
      <c r="P594" s="22"/>
      <c r="Q594" s="22"/>
      <c r="R594" s="22"/>
      <c r="S594" s="22"/>
      <c r="T594" s="115"/>
      <c r="U594" s="115"/>
      <c r="V594" s="22"/>
      <c r="W594" s="22"/>
      <c r="X594" s="22"/>
      <c r="Y594" s="22"/>
      <c r="Z594" s="22"/>
      <c r="AA594" s="115"/>
      <c r="AB594" s="115"/>
      <c r="AC594" s="22"/>
      <c r="AD594" s="22"/>
      <c r="AE594" s="22"/>
      <c r="AF594" s="22"/>
      <c r="AG594" s="22"/>
      <c r="AH594" s="115"/>
    </row>
    <row r="595" spans="6:34" x14ac:dyDescent="0.2">
      <c r="F595" s="1"/>
      <c r="N595" s="115"/>
      <c r="O595" s="22"/>
      <c r="P595" s="22"/>
      <c r="Q595" s="22"/>
      <c r="R595" s="22"/>
      <c r="S595" s="22"/>
      <c r="T595" s="115"/>
      <c r="U595" s="115"/>
      <c r="V595" s="22"/>
      <c r="W595" s="22"/>
      <c r="X595" s="22"/>
      <c r="Y595" s="22"/>
      <c r="Z595" s="22"/>
      <c r="AA595" s="115"/>
      <c r="AB595" s="115"/>
      <c r="AC595" s="22"/>
      <c r="AD595" s="22"/>
      <c r="AE595" s="22"/>
      <c r="AF595" s="22"/>
      <c r="AG595" s="22"/>
      <c r="AH595" s="115"/>
    </row>
    <row r="596" spans="6:34" x14ac:dyDescent="0.2">
      <c r="F596" s="1"/>
      <c r="N596" s="115"/>
      <c r="O596" s="22"/>
      <c r="P596" s="22"/>
      <c r="Q596" s="22"/>
      <c r="R596" s="22"/>
      <c r="S596" s="22"/>
      <c r="T596" s="115"/>
      <c r="U596" s="115"/>
      <c r="V596" s="22"/>
      <c r="W596" s="22"/>
      <c r="X596" s="22"/>
      <c r="Y596" s="22"/>
      <c r="Z596" s="22"/>
      <c r="AA596" s="115"/>
      <c r="AB596" s="115"/>
      <c r="AC596" s="22"/>
      <c r="AD596" s="22"/>
      <c r="AE596" s="22"/>
      <c r="AF596" s="22"/>
      <c r="AG596" s="22"/>
      <c r="AH596" s="115"/>
    </row>
    <row r="597" spans="6:34" x14ac:dyDescent="0.2">
      <c r="F597" s="1"/>
      <c r="N597" s="115"/>
      <c r="O597" s="22"/>
      <c r="P597" s="22"/>
      <c r="Q597" s="22"/>
      <c r="R597" s="22"/>
      <c r="S597" s="22"/>
      <c r="T597" s="115"/>
      <c r="U597" s="115"/>
      <c r="V597" s="22"/>
      <c r="W597" s="22"/>
      <c r="X597" s="22"/>
      <c r="Y597" s="22"/>
      <c r="Z597" s="22"/>
      <c r="AA597" s="115"/>
      <c r="AB597" s="115"/>
      <c r="AC597" s="22"/>
      <c r="AD597" s="22"/>
      <c r="AE597" s="22"/>
      <c r="AF597" s="22"/>
      <c r="AG597" s="22"/>
      <c r="AH597" s="115"/>
    </row>
    <row r="598" spans="6:34" x14ac:dyDescent="0.2">
      <c r="F598" s="1"/>
      <c r="N598" s="115"/>
      <c r="O598" s="22"/>
      <c r="P598" s="22"/>
      <c r="Q598" s="22"/>
      <c r="R598" s="22"/>
      <c r="S598" s="22"/>
      <c r="T598" s="115"/>
      <c r="U598" s="115"/>
      <c r="V598" s="22"/>
      <c r="W598" s="22"/>
      <c r="X598" s="22"/>
      <c r="Y598" s="22"/>
      <c r="Z598" s="22"/>
      <c r="AA598" s="115"/>
      <c r="AB598" s="115"/>
      <c r="AC598" s="22"/>
      <c r="AD598" s="22"/>
      <c r="AE598" s="22"/>
      <c r="AF598" s="22"/>
      <c r="AG598" s="22"/>
      <c r="AH598" s="115"/>
    </row>
    <row r="599" spans="6:34" x14ac:dyDescent="0.2">
      <c r="F599" s="1"/>
      <c r="N599" s="115"/>
      <c r="O599" s="22"/>
      <c r="P599" s="22"/>
      <c r="Q599" s="22"/>
      <c r="R599" s="22"/>
      <c r="S599" s="22"/>
      <c r="T599" s="115"/>
      <c r="U599" s="115"/>
      <c r="V599" s="22"/>
      <c r="W599" s="22"/>
      <c r="X599" s="22"/>
      <c r="Y599" s="22"/>
      <c r="Z599" s="22"/>
      <c r="AA599" s="115"/>
      <c r="AB599" s="115"/>
      <c r="AC599" s="22"/>
      <c r="AD599" s="22"/>
      <c r="AE599" s="22"/>
      <c r="AF599" s="22"/>
      <c r="AG599" s="22"/>
      <c r="AH599" s="115"/>
    </row>
    <row r="600" spans="6:34" x14ac:dyDescent="0.2">
      <c r="F600" s="1"/>
      <c r="N600" s="115"/>
      <c r="O600" s="22"/>
      <c r="P600" s="22"/>
      <c r="Q600" s="22"/>
      <c r="R600" s="22"/>
      <c r="S600" s="22"/>
      <c r="T600" s="115"/>
      <c r="U600" s="115"/>
      <c r="V600" s="22"/>
      <c r="W600" s="22"/>
      <c r="X600" s="22"/>
      <c r="Y600" s="22"/>
      <c r="Z600" s="22"/>
      <c r="AA600" s="115"/>
      <c r="AB600" s="115"/>
      <c r="AC600" s="22"/>
      <c r="AD600" s="22"/>
      <c r="AE600" s="22"/>
      <c r="AF600" s="22"/>
      <c r="AG600" s="22"/>
      <c r="AH600" s="115"/>
    </row>
    <row r="601" spans="6:34" x14ac:dyDescent="0.2">
      <c r="F601" s="1"/>
      <c r="N601" s="115"/>
      <c r="O601" s="22"/>
      <c r="P601" s="22"/>
      <c r="Q601" s="22"/>
      <c r="R601" s="22"/>
      <c r="S601" s="22"/>
      <c r="T601" s="115"/>
      <c r="U601" s="115"/>
      <c r="V601" s="22"/>
      <c r="W601" s="22"/>
      <c r="X601" s="22"/>
      <c r="Y601" s="22"/>
      <c r="Z601" s="22"/>
      <c r="AA601" s="115"/>
      <c r="AB601" s="115"/>
      <c r="AC601" s="22"/>
      <c r="AD601" s="22"/>
      <c r="AE601" s="22"/>
      <c r="AF601" s="22"/>
      <c r="AG601" s="22"/>
      <c r="AH601" s="115"/>
    </row>
    <row r="602" spans="6:34" x14ac:dyDescent="0.2">
      <c r="F602" s="1"/>
      <c r="N602" s="115"/>
      <c r="O602" s="22"/>
      <c r="P602" s="22"/>
      <c r="Q602" s="22"/>
      <c r="R602" s="22"/>
      <c r="S602" s="22"/>
      <c r="T602" s="115"/>
      <c r="U602" s="115"/>
      <c r="V602" s="22"/>
      <c r="W602" s="22"/>
      <c r="X602" s="22"/>
      <c r="Y602" s="22"/>
      <c r="Z602" s="22"/>
      <c r="AA602" s="115"/>
      <c r="AB602" s="115"/>
      <c r="AC602" s="22"/>
      <c r="AD602" s="22"/>
      <c r="AE602" s="22"/>
      <c r="AF602" s="22"/>
      <c r="AG602" s="22"/>
      <c r="AH602" s="115"/>
    </row>
    <row r="603" spans="6:34" x14ac:dyDescent="0.2">
      <c r="F603" s="1"/>
      <c r="N603" s="115"/>
      <c r="O603" s="22"/>
      <c r="P603" s="22"/>
      <c r="Q603" s="22"/>
      <c r="R603" s="22"/>
      <c r="S603" s="22"/>
      <c r="T603" s="115"/>
      <c r="U603" s="115"/>
      <c r="V603" s="22"/>
      <c r="W603" s="22"/>
      <c r="X603" s="22"/>
      <c r="Y603" s="22"/>
      <c r="Z603" s="22"/>
      <c r="AA603" s="115"/>
      <c r="AB603" s="115"/>
      <c r="AC603" s="22"/>
      <c r="AD603" s="22"/>
      <c r="AE603" s="22"/>
      <c r="AF603" s="22"/>
      <c r="AG603" s="22"/>
      <c r="AH603" s="115"/>
    </row>
    <row r="604" spans="6:34" x14ac:dyDescent="0.2">
      <c r="F604" s="1"/>
      <c r="N604" s="115"/>
      <c r="O604" s="22"/>
      <c r="P604" s="22"/>
      <c r="Q604" s="22"/>
      <c r="R604" s="22"/>
      <c r="S604" s="22"/>
      <c r="T604" s="115"/>
      <c r="U604" s="115"/>
      <c r="V604" s="22"/>
      <c r="W604" s="22"/>
      <c r="X604" s="22"/>
      <c r="Y604" s="22"/>
      <c r="Z604" s="22"/>
      <c r="AA604" s="115"/>
      <c r="AB604" s="115"/>
      <c r="AC604" s="22"/>
      <c r="AD604" s="22"/>
      <c r="AE604" s="22"/>
      <c r="AF604" s="22"/>
      <c r="AG604" s="22"/>
      <c r="AH604" s="115"/>
    </row>
    <row r="605" spans="6:34" x14ac:dyDescent="0.2">
      <c r="F605" s="1"/>
      <c r="N605" s="115"/>
      <c r="O605" s="22"/>
      <c r="P605" s="22"/>
      <c r="Q605" s="22"/>
      <c r="R605" s="22"/>
      <c r="S605" s="22"/>
      <c r="T605" s="115"/>
      <c r="U605" s="115"/>
      <c r="V605" s="22"/>
      <c r="W605" s="22"/>
      <c r="X605" s="22"/>
      <c r="Y605" s="22"/>
      <c r="Z605" s="22"/>
      <c r="AA605" s="115"/>
      <c r="AB605" s="115"/>
      <c r="AC605" s="22"/>
      <c r="AD605" s="22"/>
      <c r="AE605" s="22"/>
      <c r="AF605" s="22"/>
      <c r="AG605" s="22"/>
      <c r="AH605" s="115"/>
    </row>
    <row r="606" spans="6:34" x14ac:dyDescent="0.2">
      <c r="F606" s="1"/>
      <c r="N606" s="115"/>
      <c r="O606" s="22"/>
      <c r="P606" s="22"/>
      <c r="Q606" s="22"/>
      <c r="R606" s="22"/>
      <c r="S606" s="22"/>
      <c r="T606" s="115"/>
      <c r="U606" s="115"/>
      <c r="V606" s="22"/>
      <c r="W606" s="22"/>
      <c r="X606" s="22"/>
      <c r="Y606" s="22"/>
      <c r="Z606" s="22"/>
      <c r="AA606" s="115"/>
      <c r="AB606" s="115"/>
      <c r="AC606" s="22"/>
      <c r="AD606" s="22"/>
      <c r="AE606" s="22"/>
      <c r="AF606" s="22"/>
      <c r="AG606" s="22"/>
      <c r="AH606" s="115"/>
    </row>
    <row r="607" spans="6:34" x14ac:dyDescent="0.2">
      <c r="F607" s="1"/>
      <c r="N607" s="115"/>
      <c r="O607" s="22"/>
      <c r="P607" s="22"/>
      <c r="Q607" s="22"/>
      <c r="R607" s="22"/>
      <c r="S607" s="22"/>
      <c r="T607" s="115"/>
      <c r="U607" s="115"/>
      <c r="V607" s="22"/>
      <c r="W607" s="22"/>
      <c r="X607" s="22"/>
      <c r="Y607" s="22"/>
      <c r="Z607" s="22"/>
      <c r="AA607" s="115"/>
      <c r="AB607" s="115"/>
      <c r="AC607" s="22"/>
      <c r="AD607" s="22"/>
      <c r="AE607" s="22"/>
      <c r="AF607" s="22"/>
      <c r="AG607" s="22"/>
      <c r="AH607" s="115"/>
    </row>
    <row r="608" spans="6:34" x14ac:dyDescent="0.2">
      <c r="F608" s="1"/>
      <c r="N608" s="115"/>
      <c r="O608" s="22"/>
      <c r="P608" s="22"/>
      <c r="Q608" s="22"/>
      <c r="R608" s="22"/>
      <c r="S608" s="22"/>
      <c r="T608" s="115"/>
      <c r="U608" s="115"/>
      <c r="V608" s="22"/>
      <c r="W608" s="22"/>
      <c r="X608" s="22"/>
      <c r="Y608" s="22"/>
      <c r="Z608" s="22"/>
      <c r="AA608" s="115"/>
      <c r="AB608" s="115"/>
      <c r="AC608" s="22"/>
      <c r="AD608" s="22"/>
      <c r="AE608" s="22"/>
      <c r="AF608" s="22"/>
      <c r="AG608" s="22"/>
      <c r="AH608" s="115"/>
    </row>
    <row r="609" spans="6:34" x14ac:dyDescent="0.2">
      <c r="F609" s="1"/>
      <c r="N609" s="115"/>
      <c r="O609" s="22"/>
      <c r="P609" s="22"/>
      <c r="Q609" s="22"/>
      <c r="R609" s="22"/>
      <c r="S609" s="22"/>
      <c r="T609" s="115"/>
      <c r="U609" s="115"/>
      <c r="V609" s="22"/>
      <c r="W609" s="22"/>
      <c r="X609" s="22"/>
      <c r="Y609" s="22"/>
      <c r="Z609" s="22"/>
      <c r="AA609" s="115"/>
      <c r="AB609" s="115"/>
      <c r="AC609" s="22"/>
      <c r="AD609" s="22"/>
      <c r="AE609" s="22"/>
      <c r="AF609" s="22"/>
      <c r="AG609" s="22"/>
      <c r="AH609" s="115"/>
    </row>
    <row r="610" spans="6:34" x14ac:dyDescent="0.2">
      <c r="F610" s="1"/>
      <c r="N610" s="115"/>
      <c r="O610" s="22"/>
      <c r="P610" s="22"/>
      <c r="Q610" s="22"/>
      <c r="R610" s="22"/>
      <c r="S610" s="22"/>
      <c r="T610" s="115"/>
      <c r="U610" s="115"/>
      <c r="V610" s="22"/>
      <c r="W610" s="22"/>
      <c r="X610" s="22"/>
      <c r="Y610" s="22"/>
      <c r="Z610" s="22"/>
      <c r="AA610" s="115"/>
      <c r="AB610" s="115"/>
      <c r="AC610" s="22"/>
      <c r="AD610" s="22"/>
      <c r="AE610" s="22"/>
      <c r="AF610" s="22"/>
      <c r="AG610" s="22"/>
      <c r="AH610" s="115"/>
    </row>
    <row r="611" spans="6:34" x14ac:dyDescent="0.2">
      <c r="F611" s="1"/>
      <c r="N611" s="115"/>
      <c r="O611" s="22"/>
      <c r="P611" s="22"/>
      <c r="Q611" s="22"/>
      <c r="R611" s="22"/>
      <c r="S611" s="22"/>
      <c r="T611" s="115"/>
      <c r="U611" s="115"/>
      <c r="V611" s="22"/>
      <c r="W611" s="22"/>
      <c r="X611" s="22"/>
      <c r="Y611" s="22"/>
      <c r="Z611" s="22"/>
      <c r="AA611" s="115"/>
      <c r="AB611" s="115"/>
      <c r="AC611" s="22"/>
      <c r="AD611" s="22"/>
      <c r="AE611" s="22"/>
      <c r="AF611" s="22"/>
      <c r="AG611" s="22"/>
      <c r="AH611" s="115"/>
    </row>
    <row r="612" spans="6:34" x14ac:dyDescent="0.2">
      <c r="F612" s="1"/>
      <c r="N612" s="115"/>
      <c r="O612" s="22"/>
      <c r="P612" s="22"/>
      <c r="Q612" s="22"/>
      <c r="R612" s="22"/>
      <c r="S612" s="22"/>
      <c r="T612" s="115"/>
      <c r="U612" s="115"/>
      <c r="V612" s="22"/>
      <c r="W612" s="22"/>
      <c r="X612" s="22"/>
      <c r="Y612" s="22"/>
      <c r="Z612" s="22"/>
      <c r="AA612" s="115"/>
      <c r="AB612" s="115"/>
      <c r="AC612" s="22"/>
      <c r="AD612" s="22"/>
      <c r="AE612" s="22"/>
      <c r="AF612" s="22"/>
      <c r="AG612" s="22"/>
      <c r="AH612" s="115"/>
    </row>
    <row r="613" spans="6:34" x14ac:dyDescent="0.2">
      <c r="F613" s="1"/>
      <c r="N613" s="115"/>
      <c r="O613" s="22"/>
      <c r="P613" s="22"/>
      <c r="Q613" s="22"/>
      <c r="R613" s="22"/>
      <c r="S613" s="22"/>
      <c r="T613" s="115"/>
      <c r="U613" s="115"/>
      <c r="V613" s="22"/>
      <c r="W613" s="22"/>
      <c r="X613" s="22"/>
      <c r="Y613" s="22"/>
      <c r="Z613" s="22"/>
      <c r="AA613" s="115"/>
      <c r="AB613" s="115"/>
      <c r="AC613" s="22"/>
      <c r="AD613" s="22"/>
      <c r="AE613" s="22"/>
      <c r="AF613" s="22"/>
      <c r="AG613" s="22"/>
      <c r="AH613" s="115"/>
    </row>
    <row r="614" spans="6:34" x14ac:dyDescent="0.2">
      <c r="F614" s="1"/>
      <c r="N614" s="115"/>
      <c r="O614" s="22"/>
      <c r="P614" s="22"/>
      <c r="Q614" s="22"/>
      <c r="R614" s="22"/>
      <c r="S614" s="22"/>
      <c r="T614" s="115"/>
      <c r="U614" s="115"/>
      <c r="V614" s="22"/>
      <c r="W614" s="22"/>
      <c r="X614" s="22"/>
      <c r="Y614" s="22"/>
      <c r="Z614" s="22"/>
      <c r="AA614" s="115"/>
      <c r="AB614" s="115"/>
      <c r="AC614" s="22"/>
      <c r="AD614" s="22"/>
      <c r="AE614" s="22"/>
      <c r="AF614" s="22"/>
      <c r="AG614" s="22"/>
      <c r="AH614" s="115"/>
    </row>
    <row r="615" spans="6:34" x14ac:dyDescent="0.2">
      <c r="F615" s="1"/>
      <c r="N615" s="115"/>
      <c r="O615" s="22"/>
      <c r="P615" s="22"/>
      <c r="Q615" s="22"/>
      <c r="R615" s="22"/>
      <c r="S615" s="22"/>
      <c r="T615" s="115"/>
      <c r="U615" s="115"/>
      <c r="V615" s="22"/>
      <c r="W615" s="22"/>
      <c r="X615" s="22"/>
      <c r="Y615" s="22"/>
      <c r="Z615" s="22"/>
      <c r="AA615" s="115"/>
      <c r="AB615" s="115"/>
      <c r="AC615" s="22"/>
      <c r="AD615" s="22"/>
      <c r="AE615" s="22"/>
      <c r="AF615" s="22"/>
      <c r="AG615" s="22"/>
      <c r="AH615" s="115"/>
    </row>
    <row r="616" spans="6:34" x14ac:dyDescent="0.2">
      <c r="F616" s="1"/>
      <c r="N616" s="115"/>
      <c r="O616" s="22"/>
      <c r="P616" s="22"/>
      <c r="Q616" s="22"/>
      <c r="R616" s="22"/>
      <c r="S616" s="22"/>
      <c r="T616" s="115"/>
      <c r="U616" s="115"/>
      <c r="V616" s="22"/>
      <c r="W616" s="22"/>
      <c r="X616" s="22"/>
      <c r="Y616" s="22"/>
      <c r="Z616" s="22"/>
      <c r="AA616" s="115"/>
      <c r="AB616" s="115"/>
      <c r="AC616" s="22"/>
      <c r="AD616" s="22"/>
      <c r="AE616" s="22"/>
      <c r="AF616" s="22"/>
      <c r="AG616" s="22"/>
      <c r="AH616" s="115"/>
    </row>
    <row r="617" spans="6:34" x14ac:dyDescent="0.2">
      <c r="F617" s="1"/>
      <c r="N617" s="115"/>
      <c r="O617" s="22"/>
      <c r="P617" s="22"/>
      <c r="Q617" s="22"/>
      <c r="R617" s="22"/>
      <c r="S617" s="22"/>
      <c r="T617" s="115"/>
      <c r="U617" s="115"/>
      <c r="V617" s="22"/>
      <c r="W617" s="22"/>
      <c r="X617" s="22"/>
      <c r="Y617" s="22"/>
      <c r="Z617" s="22"/>
      <c r="AA617" s="115"/>
      <c r="AB617" s="115"/>
      <c r="AC617" s="22"/>
      <c r="AD617" s="22"/>
      <c r="AE617" s="22"/>
      <c r="AF617" s="22"/>
      <c r="AG617" s="22"/>
      <c r="AH617" s="115"/>
    </row>
    <row r="618" spans="6:34" x14ac:dyDescent="0.2">
      <c r="F618" s="1"/>
      <c r="N618" s="115"/>
      <c r="O618" s="22"/>
      <c r="P618" s="22"/>
      <c r="Q618" s="22"/>
      <c r="R618" s="22"/>
      <c r="S618" s="22"/>
      <c r="T618" s="115"/>
      <c r="U618" s="115"/>
      <c r="V618" s="22"/>
      <c r="W618" s="22"/>
      <c r="X618" s="22"/>
      <c r="Y618" s="22"/>
      <c r="Z618" s="22"/>
      <c r="AA618" s="115"/>
      <c r="AB618" s="115"/>
      <c r="AC618" s="22"/>
      <c r="AD618" s="22"/>
      <c r="AE618" s="22"/>
      <c r="AF618" s="22"/>
      <c r="AG618" s="22"/>
      <c r="AH618" s="115"/>
    </row>
    <row r="619" spans="6:34" x14ac:dyDescent="0.2">
      <c r="F619" s="1"/>
      <c r="N619" s="115"/>
      <c r="O619" s="22"/>
      <c r="P619" s="22"/>
      <c r="Q619" s="22"/>
      <c r="R619" s="22"/>
      <c r="S619" s="22"/>
      <c r="T619" s="115"/>
      <c r="U619" s="115"/>
      <c r="V619" s="22"/>
      <c r="W619" s="22"/>
      <c r="X619" s="22"/>
      <c r="Y619" s="22"/>
      <c r="Z619" s="22"/>
      <c r="AA619" s="115"/>
      <c r="AB619" s="115"/>
      <c r="AC619" s="22"/>
      <c r="AD619" s="22"/>
      <c r="AE619" s="22"/>
      <c r="AF619" s="22"/>
      <c r="AG619" s="22"/>
      <c r="AH619" s="115"/>
    </row>
    <row r="620" spans="6:34" x14ac:dyDescent="0.2">
      <c r="F620" s="1"/>
      <c r="N620" s="115"/>
      <c r="O620" s="22"/>
      <c r="P620" s="22"/>
      <c r="Q620" s="22"/>
      <c r="R620" s="22"/>
      <c r="S620" s="22"/>
      <c r="T620" s="115"/>
      <c r="U620" s="115"/>
      <c r="V620" s="22"/>
      <c r="W620" s="22"/>
      <c r="X620" s="22"/>
      <c r="Y620" s="22"/>
      <c r="Z620" s="22"/>
      <c r="AA620" s="115"/>
      <c r="AB620" s="115"/>
      <c r="AC620" s="22"/>
      <c r="AD620" s="22"/>
      <c r="AE620" s="22"/>
      <c r="AF620" s="22"/>
      <c r="AG620" s="22"/>
      <c r="AH620" s="115"/>
    </row>
    <row r="621" spans="6:34" x14ac:dyDescent="0.2">
      <c r="F621" s="1"/>
      <c r="N621" s="115"/>
      <c r="O621" s="22"/>
      <c r="P621" s="22"/>
      <c r="Q621" s="22"/>
      <c r="R621" s="22"/>
      <c r="S621" s="22"/>
      <c r="T621" s="115"/>
      <c r="U621" s="115"/>
      <c r="V621" s="22"/>
      <c r="W621" s="22"/>
      <c r="X621" s="22"/>
      <c r="Y621" s="22"/>
      <c r="Z621" s="22"/>
      <c r="AA621" s="115"/>
      <c r="AB621" s="115"/>
      <c r="AC621" s="22"/>
      <c r="AD621" s="22"/>
      <c r="AE621" s="22"/>
      <c r="AF621" s="22"/>
      <c r="AG621" s="22"/>
      <c r="AH621" s="115"/>
    </row>
    <row r="622" spans="6:34" x14ac:dyDescent="0.2">
      <c r="F622" s="1"/>
      <c r="N622" s="115"/>
      <c r="O622" s="22"/>
      <c r="P622" s="22"/>
      <c r="Q622" s="22"/>
      <c r="R622" s="22"/>
      <c r="S622" s="22"/>
      <c r="T622" s="115"/>
      <c r="U622" s="115"/>
      <c r="V622" s="22"/>
      <c r="W622" s="22"/>
      <c r="X622" s="22"/>
      <c r="Y622" s="22"/>
      <c r="Z622" s="22"/>
      <c r="AA622" s="115"/>
      <c r="AB622" s="115"/>
      <c r="AC622" s="22"/>
      <c r="AD622" s="22"/>
      <c r="AE622" s="22"/>
      <c r="AF622" s="22"/>
      <c r="AG622" s="22"/>
      <c r="AH622" s="115"/>
    </row>
    <row r="623" spans="6:34" x14ac:dyDescent="0.2">
      <c r="F623" s="1"/>
      <c r="N623" s="115"/>
      <c r="O623" s="22"/>
      <c r="P623" s="22"/>
      <c r="Q623" s="22"/>
      <c r="R623" s="22"/>
      <c r="S623" s="22"/>
      <c r="T623" s="115"/>
      <c r="U623" s="115"/>
      <c r="V623" s="22"/>
      <c r="W623" s="22"/>
      <c r="X623" s="22"/>
      <c r="Y623" s="22"/>
      <c r="Z623" s="22"/>
      <c r="AA623" s="115"/>
      <c r="AB623" s="115"/>
      <c r="AC623" s="22"/>
      <c r="AD623" s="22"/>
      <c r="AE623" s="22"/>
      <c r="AF623" s="22"/>
      <c r="AG623" s="22"/>
      <c r="AH623" s="115"/>
    </row>
    <row r="624" spans="6:34" x14ac:dyDescent="0.2">
      <c r="F624" s="1"/>
      <c r="N624" s="115"/>
      <c r="O624" s="22"/>
      <c r="P624" s="22"/>
      <c r="Q624" s="22"/>
      <c r="R624" s="22"/>
      <c r="S624" s="22"/>
      <c r="T624" s="115"/>
      <c r="U624" s="115"/>
      <c r="V624" s="22"/>
      <c r="W624" s="22"/>
      <c r="X624" s="22"/>
      <c r="Y624" s="22"/>
      <c r="Z624" s="22"/>
      <c r="AA624" s="115"/>
      <c r="AB624" s="115"/>
      <c r="AC624" s="22"/>
      <c r="AD624" s="22"/>
      <c r="AE624" s="22"/>
      <c r="AF624" s="22"/>
      <c r="AG624" s="22"/>
      <c r="AH624" s="115"/>
    </row>
    <row r="625" spans="6:34" x14ac:dyDescent="0.2">
      <c r="F625" s="1"/>
      <c r="N625" s="115"/>
      <c r="O625" s="22"/>
      <c r="P625" s="22"/>
      <c r="Q625" s="22"/>
      <c r="R625" s="22"/>
      <c r="S625" s="22"/>
      <c r="T625" s="115"/>
      <c r="U625" s="115"/>
      <c r="V625" s="22"/>
      <c r="W625" s="22"/>
      <c r="X625" s="22"/>
      <c r="Y625" s="22"/>
      <c r="Z625" s="22"/>
      <c r="AA625" s="115"/>
      <c r="AB625" s="115"/>
      <c r="AC625" s="22"/>
      <c r="AD625" s="22"/>
      <c r="AE625" s="22"/>
      <c r="AF625" s="22"/>
      <c r="AG625" s="22"/>
      <c r="AH625" s="115"/>
    </row>
    <row r="626" spans="6:34" x14ac:dyDescent="0.2">
      <c r="F626" s="1"/>
      <c r="N626" s="115"/>
      <c r="O626" s="22"/>
      <c r="P626" s="22"/>
      <c r="Q626" s="22"/>
      <c r="R626" s="22"/>
      <c r="S626" s="22"/>
      <c r="T626" s="115"/>
      <c r="U626" s="115"/>
      <c r="V626" s="22"/>
      <c r="W626" s="22"/>
      <c r="X626" s="22"/>
      <c r="Y626" s="22"/>
      <c r="Z626" s="22"/>
      <c r="AA626" s="115"/>
      <c r="AB626" s="115"/>
      <c r="AC626" s="22"/>
      <c r="AD626" s="22"/>
      <c r="AE626" s="22"/>
      <c r="AF626" s="22"/>
      <c r="AG626" s="22"/>
      <c r="AH626" s="115"/>
    </row>
    <row r="627" spans="6:34" x14ac:dyDescent="0.2">
      <c r="F627" s="1"/>
      <c r="N627" s="115"/>
      <c r="O627" s="22"/>
      <c r="P627" s="22"/>
      <c r="Q627" s="22"/>
      <c r="R627" s="22"/>
      <c r="S627" s="22"/>
      <c r="T627" s="115"/>
      <c r="U627" s="115"/>
      <c r="V627" s="22"/>
      <c r="W627" s="22"/>
      <c r="X627" s="22"/>
      <c r="Y627" s="22"/>
      <c r="Z627" s="22"/>
      <c r="AA627" s="115"/>
      <c r="AB627" s="115"/>
      <c r="AC627" s="22"/>
      <c r="AD627" s="22"/>
      <c r="AE627" s="22"/>
      <c r="AF627" s="22"/>
      <c r="AG627" s="22"/>
      <c r="AH627" s="115"/>
    </row>
    <row r="628" spans="6:34" x14ac:dyDescent="0.2">
      <c r="F628" s="1"/>
      <c r="N628" s="115"/>
      <c r="O628" s="22"/>
      <c r="P628" s="22"/>
      <c r="Q628" s="22"/>
      <c r="R628" s="22"/>
      <c r="S628" s="22"/>
      <c r="T628" s="115"/>
      <c r="U628" s="115"/>
      <c r="V628" s="22"/>
      <c r="W628" s="22"/>
      <c r="X628" s="22"/>
      <c r="Y628" s="22"/>
      <c r="Z628" s="22"/>
      <c r="AA628" s="115"/>
      <c r="AB628" s="115"/>
      <c r="AC628" s="22"/>
      <c r="AD628" s="22"/>
      <c r="AE628" s="22"/>
      <c r="AF628" s="22"/>
      <c r="AG628" s="22"/>
      <c r="AH628" s="115"/>
    </row>
    <row r="629" spans="6:34" x14ac:dyDescent="0.2">
      <c r="F629" s="1"/>
      <c r="N629" s="115"/>
      <c r="O629" s="22"/>
      <c r="P629" s="22"/>
      <c r="Q629" s="22"/>
      <c r="R629" s="22"/>
      <c r="S629" s="22"/>
      <c r="T629" s="115"/>
      <c r="U629" s="115"/>
      <c r="V629" s="22"/>
      <c r="W629" s="22"/>
      <c r="X629" s="22"/>
      <c r="Y629" s="22"/>
      <c r="Z629" s="22"/>
      <c r="AA629" s="115"/>
      <c r="AB629" s="115"/>
      <c r="AC629" s="22"/>
      <c r="AD629" s="22"/>
      <c r="AE629" s="22"/>
      <c r="AF629" s="22"/>
      <c r="AG629" s="22"/>
      <c r="AH629" s="115"/>
    </row>
    <row r="630" spans="6:34" x14ac:dyDescent="0.2">
      <c r="F630" s="1"/>
      <c r="N630" s="115"/>
      <c r="O630" s="22"/>
      <c r="P630" s="22"/>
      <c r="Q630" s="22"/>
      <c r="R630" s="22"/>
      <c r="S630" s="22"/>
      <c r="T630" s="115"/>
      <c r="U630" s="115"/>
      <c r="V630" s="22"/>
      <c r="W630" s="22"/>
      <c r="X630" s="22"/>
      <c r="Y630" s="22"/>
      <c r="Z630" s="22"/>
      <c r="AA630" s="115"/>
      <c r="AB630" s="115"/>
      <c r="AC630" s="22"/>
      <c r="AD630" s="22"/>
      <c r="AE630" s="22"/>
      <c r="AF630" s="22"/>
      <c r="AG630" s="22"/>
      <c r="AH630" s="115"/>
    </row>
    <row r="631" spans="6:34" x14ac:dyDescent="0.2">
      <c r="F631" s="1"/>
      <c r="N631" s="115"/>
      <c r="O631" s="22"/>
      <c r="P631" s="22"/>
      <c r="Q631" s="22"/>
      <c r="R631" s="22"/>
      <c r="S631" s="22"/>
      <c r="T631" s="115"/>
      <c r="U631" s="115"/>
      <c r="V631" s="22"/>
      <c r="W631" s="22"/>
      <c r="X631" s="22"/>
      <c r="Y631" s="22"/>
      <c r="Z631" s="22"/>
      <c r="AA631" s="115"/>
      <c r="AB631" s="115"/>
      <c r="AC631" s="22"/>
      <c r="AD631" s="22"/>
      <c r="AE631" s="22"/>
      <c r="AF631" s="22"/>
      <c r="AG631" s="22"/>
      <c r="AH631" s="115"/>
    </row>
    <row r="632" spans="6:34" x14ac:dyDescent="0.2">
      <c r="F632" s="1"/>
      <c r="N632" s="115"/>
      <c r="O632" s="22"/>
      <c r="P632" s="22"/>
      <c r="Q632" s="22"/>
      <c r="R632" s="22"/>
      <c r="S632" s="22"/>
      <c r="T632" s="115"/>
      <c r="U632" s="115"/>
      <c r="V632" s="22"/>
      <c r="W632" s="22"/>
      <c r="X632" s="22"/>
      <c r="Y632" s="22"/>
      <c r="Z632" s="22"/>
      <c r="AA632" s="115"/>
      <c r="AB632" s="115"/>
      <c r="AC632" s="22"/>
      <c r="AD632" s="22"/>
      <c r="AE632" s="22"/>
      <c r="AF632" s="22"/>
      <c r="AG632" s="22"/>
      <c r="AH632" s="115"/>
    </row>
    <row r="633" spans="6:34" x14ac:dyDescent="0.2">
      <c r="F633" s="1"/>
      <c r="N633" s="115"/>
      <c r="O633" s="22"/>
      <c r="P633" s="22"/>
      <c r="Q633" s="22"/>
      <c r="R633" s="22"/>
      <c r="S633" s="22"/>
      <c r="T633" s="115"/>
      <c r="U633" s="115"/>
      <c r="V633" s="22"/>
      <c r="W633" s="22"/>
      <c r="X633" s="22"/>
      <c r="Y633" s="22"/>
      <c r="Z633" s="22"/>
      <c r="AA633" s="115"/>
      <c r="AB633" s="115"/>
      <c r="AC633" s="22"/>
      <c r="AD633" s="22"/>
      <c r="AE633" s="22"/>
      <c r="AF633" s="22"/>
      <c r="AG633" s="22"/>
      <c r="AH633" s="115"/>
    </row>
    <row r="634" spans="6:34" x14ac:dyDescent="0.2">
      <c r="F634" s="1"/>
      <c r="N634" s="115"/>
      <c r="O634" s="22"/>
      <c r="P634" s="22"/>
      <c r="Q634" s="22"/>
      <c r="R634" s="22"/>
      <c r="S634" s="22"/>
      <c r="T634" s="115"/>
      <c r="U634" s="115"/>
      <c r="V634" s="22"/>
      <c r="W634" s="22"/>
      <c r="X634" s="22"/>
      <c r="Y634" s="22"/>
      <c r="Z634" s="22"/>
      <c r="AA634" s="115"/>
      <c r="AB634" s="115"/>
      <c r="AC634" s="22"/>
      <c r="AD634" s="22"/>
      <c r="AE634" s="22"/>
      <c r="AF634" s="22"/>
      <c r="AG634" s="22"/>
      <c r="AH634" s="115"/>
    </row>
    <row r="635" spans="6:34" x14ac:dyDescent="0.2">
      <c r="F635" s="1"/>
      <c r="N635" s="115"/>
      <c r="O635" s="22"/>
      <c r="P635" s="22"/>
      <c r="Q635" s="22"/>
      <c r="R635" s="22"/>
      <c r="S635" s="22"/>
      <c r="T635" s="115"/>
      <c r="U635" s="115"/>
      <c r="V635" s="22"/>
      <c r="W635" s="22"/>
      <c r="X635" s="22"/>
      <c r="Y635" s="22"/>
      <c r="Z635" s="22"/>
      <c r="AA635" s="115"/>
      <c r="AB635" s="115"/>
      <c r="AC635" s="22"/>
      <c r="AD635" s="22"/>
      <c r="AE635" s="22"/>
      <c r="AF635" s="22"/>
      <c r="AG635" s="22"/>
      <c r="AH635" s="115"/>
    </row>
    <row r="636" spans="6:34" x14ac:dyDescent="0.2">
      <c r="F636" s="1"/>
      <c r="N636" s="115"/>
      <c r="O636" s="22"/>
      <c r="P636" s="22"/>
      <c r="Q636" s="22"/>
      <c r="R636" s="22"/>
      <c r="S636" s="22"/>
      <c r="T636" s="115"/>
      <c r="U636" s="115"/>
      <c r="V636" s="22"/>
      <c r="W636" s="22"/>
      <c r="X636" s="22"/>
      <c r="Y636" s="22"/>
      <c r="Z636" s="22"/>
      <c r="AA636" s="115"/>
      <c r="AB636" s="115"/>
      <c r="AC636" s="22"/>
      <c r="AD636" s="22"/>
      <c r="AE636" s="22"/>
      <c r="AF636" s="22"/>
      <c r="AG636" s="22"/>
      <c r="AH636" s="115"/>
    </row>
    <row r="637" spans="6:34" x14ac:dyDescent="0.2">
      <c r="F637" s="1"/>
      <c r="N637" s="115"/>
      <c r="O637" s="22"/>
      <c r="P637" s="22"/>
      <c r="Q637" s="22"/>
      <c r="R637" s="22"/>
      <c r="S637" s="22"/>
      <c r="T637" s="115"/>
      <c r="U637" s="115"/>
      <c r="V637" s="22"/>
      <c r="W637" s="22"/>
      <c r="X637" s="22"/>
      <c r="Y637" s="22"/>
      <c r="Z637" s="22"/>
      <c r="AA637" s="115"/>
      <c r="AB637" s="115"/>
      <c r="AC637" s="22"/>
      <c r="AD637" s="22"/>
      <c r="AE637" s="22"/>
      <c r="AF637" s="22"/>
      <c r="AG637" s="22"/>
      <c r="AH637" s="115"/>
    </row>
    <row r="638" spans="6:34" x14ac:dyDescent="0.2">
      <c r="F638" s="1"/>
      <c r="N638" s="115"/>
      <c r="O638" s="22"/>
      <c r="P638" s="22"/>
      <c r="Q638" s="22"/>
      <c r="R638" s="22"/>
      <c r="S638" s="22"/>
      <c r="T638" s="115"/>
      <c r="U638" s="115"/>
      <c r="V638" s="22"/>
      <c r="W638" s="22"/>
      <c r="X638" s="22"/>
      <c r="Y638" s="22"/>
      <c r="Z638" s="22"/>
      <c r="AA638" s="115"/>
      <c r="AB638" s="115"/>
      <c r="AC638" s="22"/>
      <c r="AD638" s="22"/>
      <c r="AE638" s="22"/>
      <c r="AF638" s="22"/>
      <c r="AG638" s="22"/>
      <c r="AH638" s="115"/>
    </row>
    <row r="639" spans="6:34" x14ac:dyDescent="0.2">
      <c r="F639" s="1"/>
      <c r="N639" s="115"/>
      <c r="O639" s="22"/>
      <c r="P639" s="22"/>
      <c r="Q639" s="22"/>
      <c r="R639" s="22"/>
      <c r="S639" s="22"/>
      <c r="T639" s="115"/>
      <c r="U639" s="115"/>
      <c r="V639" s="22"/>
      <c r="W639" s="22"/>
      <c r="X639" s="22"/>
      <c r="Y639" s="22"/>
      <c r="Z639" s="22"/>
      <c r="AA639" s="115"/>
      <c r="AB639" s="115"/>
      <c r="AC639" s="22"/>
      <c r="AD639" s="22"/>
      <c r="AE639" s="22"/>
      <c r="AF639" s="22"/>
      <c r="AG639" s="22"/>
      <c r="AH639" s="115"/>
    </row>
    <row r="640" spans="6:34" x14ac:dyDescent="0.2">
      <c r="F640" s="1"/>
      <c r="N640" s="115"/>
      <c r="O640" s="22"/>
      <c r="P640" s="22"/>
      <c r="Q640" s="22"/>
      <c r="R640" s="22"/>
      <c r="S640" s="22"/>
      <c r="T640" s="115"/>
      <c r="U640" s="115"/>
      <c r="V640" s="22"/>
      <c r="W640" s="22"/>
      <c r="X640" s="22"/>
      <c r="Y640" s="22"/>
      <c r="Z640" s="22"/>
      <c r="AA640" s="115"/>
      <c r="AB640" s="115"/>
      <c r="AC640" s="22"/>
      <c r="AD640" s="22"/>
      <c r="AE640" s="22"/>
      <c r="AF640" s="22"/>
      <c r="AG640" s="22"/>
      <c r="AH640" s="115"/>
    </row>
    <row r="641" spans="6:34" x14ac:dyDescent="0.2">
      <c r="F641" s="1"/>
      <c r="N641" s="115"/>
      <c r="O641" s="22"/>
      <c r="P641" s="22"/>
      <c r="Q641" s="22"/>
      <c r="R641" s="22"/>
      <c r="S641" s="22"/>
      <c r="T641" s="115"/>
      <c r="U641" s="115"/>
      <c r="V641" s="22"/>
      <c r="W641" s="22"/>
      <c r="X641" s="22"/>
      <c r="Y641" s="22"/>
      <c r="Z641" s="22"/>
      <c r="AA641" s="115"/>
      <c r="AB641" s="115"/>
      <c r="AC641" s="22"/>
      <c r="AD641" s="22"/>
      <c r="AE641" s="22"/>
      <c r="AF641" s="22"/>
      <c r="AG641" s="22"/>
      <c r="AH641" s="115"/>
    </row>
    <row r="642" spans="6:34" x14ac:dyDescent="0.2">
      <c r="F642" s="1"/>
      <c r="N642" s="115"/>
      <c r="O642" s="22"/>
      <c r="P642" s="22"/>
      <c r="Q642" s="22"/>
      <c r="R642" s="22"/>
      <c r="S642" s="22"/>
      <c r="T642" s="115"/>
      <c r="U642" s="115"/>
      <c r="V642" s="22"/>
      <c r="W642" s="22"/>
      <c r="X642" s="22"/>
      <c r="Y642" s="22"/>
      <c r="Z642" s="22"/>
      <c r="AA642" s="115"/>
      <c r="AB642" s="115"/>
      <c r="AC642" s="22"/>
      <c r="AD642" s="22"/>
      <c r="AE642" s="22"/>
      <c r="AF642" s="22"/>
      <c r="AG642" s="22"/>
      <c r="AH642" s="115"/>
    </row>
    <row r="643" spans="6:34" x14ac:dyDescent="0.2">
      <c r="F643" s="1"/>
      <c r="N643" s="115"/>
      <c r="O643" s="22"/>
      <c r="P643" s="22"/>
      <c r="Q643" s="22"/>
      <c r="R643" s="22"/>
      <c r="S643" s="22"/>
      <c r="T643" s="115"/>
      <c r="U643" s="115"/>
      <c r="V643" s="22"/>
      <c r="W643" s="22"/>
      <c r="X643" s="22"/>
      <c r="Y643" s="22"/>
      <c r="Z643" s="22"/>
      <c r="AA643" s="115"/>
      <c r="AB643" s="115"/>
      <c r="AC643" s="22"/>
      <c r="AD643" s="22"/>
      <c r="AE643" s="22"/>
      <c r="AF643" s="22"/>
      <c r="AG643" s="22"/>
      <c r="AH643" s="115"/>
    </row>
    <row r="644" spans="6:34" x14ac:dyDescent="0.2">
      <c r="F644" s="1"/>
      <c r="N644" s="115"/>
      <c r="O644" s="22"/>
      <c r="P644" s="22"/>
      <c r="Q644" s="22"/>
      <c r="R644" s="22"/>
      <c r="S644" s="22"/>
      <c r="T644" s="115"/>
      <c r="U644" s="115"/>
      <c r="V644" s="22"/>
      <c r="W644" s="22"/>
      <c r="X644" s="22"/>
      <c r="Y644" s="22"/>
      <c r="Z644" s="22"/>
      <c r="AA644" s="115"/>
      <c r="AB644" s="115"/>
      <c r="AC644" s="22"/>
      <c r="AD644" s="22"/>
      <c r="AE644" s="22"/>
      <c r="AF644" s="22"/>
      <c r="AG644" s="22"/>
      <c r="AH644" s="115"/>
    </row>
    <row r="645" spans="6:34" x14ac:dyDescent="0.2">
      <c r="F645" s="1"/>
      <c r="N645" s="115"/>
      <c r="O645" s="22"/>
      <c r="P645" s="22"/>
      <c r="Q645" s="22"/>
      <c r="R645" s="22"/>
      <c r="S645" s="22"/>
      <c r="T645" s="115"/>
      <c r="U645" s="115"/>
      <c r="V645" s="22"/>
      <c r="W645" s="22"/>
      <c r="X645" s="22"/>
      <c r="Y645" s="22"/>
      <c r="Z645" s="22"/>
      <c r="AA645" s="115"/>
      <c r="AB645" s="115"/>
      <c r="AC645" s="22"/>
      <c r="AD645" s="22"/>
      <c r="AE645" s="22"/>
      <c r="AF645" s="22"/>
      <c r="AG645" s="22"/>
      <c r="AH645" s="115"/>
    </row>
    <row r="646" spans="6:34" x14ac:dyDescent="0.2">
      <c r="F646" s="1"/>
      <c r="N646" s="115"/>
      <c r="O646" s="22"/>
      <c r="P646" s="22"/>
      <c r="Q646" s="22"/>
      <c r="R646" s="22"/>
      <c r="S646" s="22"/>
      <c r="T646" s="115"/>
      <c r="U646" s="115"/>
      <c r="V646" s="22"/>
      <c r="W646" s="22"/>
      <c r="X646" s="22"/>
      <c r="Y646" s="22"/>
      <c r="Z646" s="22"/>
      <c r="AA646" s="115"/>
      <c r="AB646" s="115"/>
      <c r="AC646" s="22"/>
      <c r="AD646" s="22"/>
      <c r="AE646" s="22"/>
      <c r="AF646" s="22"/>
      <c r="AG646" s="22"/>
      <c r="AH646" s="115"/>
    </row>
    <row r="647" spans="6:34" x14ac:dyDescent="0.2">
      <c r="F647" s="1"/>
      <c r="N647" s="115"/>
      <c r="O647" s="22"/>
      <c r="P647" s="22"/>
      <c r="Q647" s="22"/>
      <c r="R647" s="22"/>
      <c r="S647" s="22"/>
      <c r="T647" s="115"/>
      <c r="U647" s="115"/>
      <c r="V647" s="22"/>
      <c r="W647" s="22"/>
      <c r="X647" s="22"/>
      <c r="Y647" s="22"/>
      <c r="Z647" s="22"/>
      <c r="AA647" s="115"/>
      <c r="AB647" s="115"/>
      <c r="AC647" s="22"/>
      <c r="AD647" s="22"/>
      <c r="AE647" s="22"/>
      <c r="AF647" s="22"/>
      <c r="AG647" s="22"/>
      <c r="AH647" s="115"/>
    </row>
    <row r="648" spans="6:34" x14ac:dyDescent="0.2">
      <c r="F648" s="1"/>
      <c r="N648" s="115"/>
      <c r="O648" s="22"/>
      <c r="P648" s="22"/>
      <c r="Q648" s="22"/>
      <c r="R648" s="22"/>
      <c r="S648" s="22"/>
      <c r="T648" s="115"/>
      <c r="U648" s="115"/>
      <c r="V648" s="22"/>
      <c r="W648" s="22"/>
      <c r="X648" s="22"/>
      <c r="Y648" s="22"/>
      <c r="Z648" s="22"/>
      <c r="AA648" s="115"/>
      <c r="AB648" s="115"/>
      <c r="AC648" s="22"/>
      <c r="AD648" s="22"/>
      <c r="AE648" s="22"/>
      <c r="AF648" s="22"/>
      <c r="AG648" s="22"/>
      <c r="AH648" s="115"/>
    </row>
    <row r="649" spans="6:34" x14ac:dyDescent="0.2">
      <c r="F649" s="1"/>
      <c r="N649" s="115"/>
      <c r="O649" s="22"/>
      <c r="P649" s="22"/>
      <c r="Q649" s="22"/>
      <c r="R649" s="22"/>
      <c r="S649" s="22"/>
      <c r="T649" s="115"/>
      <c r="U649" s="115"/>
      <c r="V649" s="22"/>
      <c r="W649" s="22"/>
      <c r="X649" s="22"/>
      <c r="Y649" s="22"/>
      <c r="Z649" s="22"/>
      <c r="AA649" s="115"/>
      <c r="AB649" s="115"/>
      <c r="AC649" s="22"/>
      <c r="AD649" s="22"/>
      <c r="AE649" s="22"/>
      <c r="AF649" s="22"/>
      <c r="AG649" s="22"/>
      <c r="AH649" s="115"/>
    </row>
    <row r="650" spans="6:34" x14ac:dyDescent="0.2">
      <c r="F650" s="1"/>
      <c r="N650" s="115"/>
      <c r="O650" s="22"/>
      <c r="P650" s="22"/>
      <c r="Q650" s="22"/>
      <c r="R650" s="22"/>
      <c r="S650" s="22"/>
      <c r="T650" s="115"/>
      <c r="U650" s="115"/>
      <c r="V650" s="22"/>
      <c r="W650" s="22"/>
      <c r="X650" s="22"/>
      <c r="Y650" s="22"/>
      <c r="Z650" s="22"/>
      <c r="AA650" s="115"/>
      <c r="AB650" s="115"/>
      <c r="AC650" s="22"/>
      <c r="AD650" s="22"/>
      <c r="AE650" s="22"/>
      <c r="AF650" s="22"/>
      <c r="AG650" s="22"/>
      <c r="AH650" s="115"/>
    </row>
    <row r="651" spans="6:34" x14ac:dyDescent="0.2">
      <c r="F651" s="1"/>
      <c r="N651" s="115"/>
      <c r="O651" s="22"/>
      <c r="P651" s="22"/>
      <c r="Q651" s="22"/>
      <c r="R651" s="22"/>
      <c r="S651" s="22"/>
      <c r="T651" s="115"/>
      <c r="U651" s="115"/>
      <c r="V651" s="22"/>
      <c r="W651" s="22"/>
      <c r="X651" s="22"/>
      <c r="Y651" s="22"/>
      <c r="Z651" s="22"/>
      <c r="AA651" s="115"/>
      <c r="AB651" s="115"/>
      <c r="AC651" s="22"/>
      <c r="AD651" s="22"/>
      <c r="AE651" s="22"/>
      <c r="AF651" s="22"/>
      <c r="AG651" s="22"/>
      <c r="AH651" s="115"/>
    </row>
    <row r="652" spans="6:34" x14ac:dyDescent="0.2">
      <c r="F652" s="1"/>
      <c r="N652" s="115"/>
      <c r="O652" s="22"/>
      <c r="P652" s="22"/>
      <c r="Q652" s="22"/>
      <c r="R652" s="22"/>
      <c r="S652" s="22"/>
      <c r="T652" s="115"/>
      <c r="U652" s="115"/>
      <c r="V652" s="22"/>
      <c r="W652" s="22"/>
      <c r="X652" s="22"/>
      <c r="Y652" s="22"/>
      <c r="Z652" s="22"/>
      <c r="AA652" s="115"/>
      <c r="AB652" s="115"/>
      <c r="AC652" s="22"/>
      <c r="AD652" s="22"/>
      <c r="AE652" s="22"/>
      <c r="AF652" s="22"/>
      <c r="AG652" s="22"/>
      <c r="AH652" s="115"/>
    </row>
    <row r="653" spans="6:34" x14ac:dyDescent="0.2">
      <c r="F653" s="1"/>
      <c r="N653" s="115"/>
      <c r="O653" s="22"/>
      <c r="P653" s="22"/>
      <c r="Q653" s="22"/>
      <c r="R653" s="22"/>
      <c r="S653" s="22"/>
      <c r="T653" s="115"/>
      <c r="U653" s="115"/>
      <c r="V653" s="22"/>
      <c r="W653" s="22"/>
      <c r="X653" s="22"/>
      <c r="Y653" s="22"/>
      <c r="Z653" s="22"/>
      <c r="AA653" s="115"/>
      <c r="AB653" s="115"/>
      <c r="AC653" s="22"/>
      <c r="AD653" s="22"/>
      <c r="AE653" s="22"/>
      <c r="AF653" s="22"/>
      <c r="AG653" s="22"/>
      <c r="AH653" s="115"/>
    </row>
    <row r="654" spans="6:34" x14ac:dyDescent="0.2">
      <c r="F654" s="1"/>
      <c r="N654" s="115"/>
      <c r="O654" s="22"/>
      <c r="P654" s="22"/>
      <c r="Q654" s="22"/>
      <c r="R654" s="22"/>
      <c r="S654" s="22"/>
      <c r="T654" s="115"/>
      <c r="U654" s="115"/>
      <c r="V654" s="22"/>
      <c r="W654" s="22"/>
      <c r="X654" s="22"/>
      <c r="Y654" s="22"/>
      <c r="Z654" s="22"/>
      <c r="AA654" s="115"/>
      <c r="AB654" s="115"/>
      <c r="AC654" s="22"/>
      <c r="AD654" s="22"/>
      <c r="AE654" s="22"/>
      <c r="AF654" s="22"/>
      <c r="AG654" s="22"/>
      <c r="AH654" s="115"/>
    </row>
    <row r="655" spans="6:34" x14ac:dyDescent="0.2">
      <c r="F655" s="1"/>
      <c r="N655" s="115"/>
      <c r="O655" s="22"/>
      <c r="P655" s="22"/>
      <c r="Q655" s="22"/>
      <c r="R655" s="22"/>
      <c r="S655" s="22"/>
      <c r="T655" s="115"/>
      <c r="U655" s="115"/>
      <c r="V655" s="22"/>
      <c r="W655" s="22"/>
      <c r="X655" s="22"/>
      <c r="Y655" s="22"/>
      <c r="Z655" s="22"/>
      <c r="AA655" s="115"/>
      <c r="AB655" s="115"/>
      <c r="AC655" s="22"/>
      <c r="AD655" s="22"/>
      <c r="AE655" s="22"/>
      <c r="AF655" s="22"/>
      <c r="AG655" s="22"/>
      <c r="AH655" s="115"/>
    </row>
    <row r="656" spans="6:34" x14ac:dyDescent="0.2">
      <c r="F656" s="1"/>
      <c r="N656" s="115"/>
      <c r="O656" s="22"/>
      <c r="P656" s="22"/>
      <c r="Q656" s="22"/>
      <c r="R656" s="22"/>
      <c r="S656" s="22"/>
      <c r="T656" s="115"/>
      <c r="U656" s="115"/>
      <c r="V656" s="22"/>
      <c r="W656" s="22"/>
      <c r="X656" s="22"/>
      <c r="Y656" s="22"/>
      <c r="Z656" s="22"/>
      <c r="AA656" s="115"/>
      <c r="AB656" s="115"/>
      <c r="AC656" s="22"/>
      <c r="AD656" s="22"/>
      <c r="AE656" s="22"/>
      <c r="AF656" s="22"/>
      <c r="AG656" s="22"/>
      <c r="AH656" s="115"/>
    </row>
    <row r="657" spans="6:34" x14ac:dyDescent="0.2">
      <c r="F657" s="1"/>
      <c r="N657" s="115"/>
      <c r="O657" s="22"/>
      <c r="P657" s="22"/>
      <c r="Q657" s="22"/>
      <c r="R657" s="22"/>
      <c r="S657" s="22"/>
      <c r="T657" s="115"/>
      <c r="U657" s="115"/>
      <c r="V657" s="22"/>
      <c r="W657" s="22"/>
      <c r="X657" s="22"/>
      <c r="Y657" s="22"/>
      <c r="Z657" s="22"/>
      <c r="AA657" s="115"/>
      <c r="AB657" s="115"/>
      <c r="AC657" s="22"/>
      <c r="AD657" s="22"/>
      <c r="AE657" s="22"/>
      <c r="AF657" s="22"/>
      <c r="AG657" s="22"/>
      <c r="AH657" s="115"/>
    </row>
    <row r="658" spans="6:34" x14ac:dyDescent="0.2">
      <c r="F658" s="1"/>
      <c r="N658" s="115"/>
      <c r="O658" s="22"/>
      <c r="P658" s="22"/>
      <c r="Q658" s="22"/>
      <c r="R658" s="22"/>
      <c r="S658" s="22"/>
      <c r="T658" s="115"/>
      <c r="U658" s="115"/>
      <c r="V658" s="22"/>
      <c r="W658" s="22"/>
      <c r="X658" s="22"/>
      <c r="Y658" s="22"/>
      <c r="Z658" s="22"/>
      <c r="AA658" s="115"/>
      <c r="AB658" s="115"/>
      <c r="AC658" s="22"/>
      <c r="AD658" s="22"/>
      <c r="AE658" s="22"/>
      <c r="AF658" s="22"/>
      <c r="AG658" s="22"/>
      <c r="AH658" s="115"/>
    </row>
    <row r="659" spans="6:34" x14ac:dyDescent="0.2">
      <c r="F659" s="1"/>
      <c r="N659" s="115"/>
      <c r="O659" s="22"/>
      <c r="P659" s="22"/>
      <c r="Q659" s="22"/>
      <c r="R659" s="22"/>
      <c r="S659" s="22"/>
      <c r="T659" s="115"/>
      <c r="U659" s="115"/>
      <c r="V659" s="22"/>
      <c r="W659" s="22"/>
      <c r="X659" s="22"/>
      <c r="Y659" s="22"/>
      <c r="Z659" s="22"/>
      <c r="AA659" s="115"/>
      <c r="AB659" s="115"/>
      <c r="AC659" s="22"/>
      <c r="AD659" s="22"/>
      <c r="AE659" s="22"/>
      <c r="AF659" s="22"/>
      <c r="AG659" s="22"/>
      <c r="AH659" s="115"/>
    </row>
    <row r="660" spans="6:34" x14ac:dyDescent="0.2">
      <c r="F660" s="1"/>
      <c r="N660" s="115"/>
      <c r="O660" s="22"/>
      <c r="P660" s="22"/>
      <c r="Q660" s="22"/>
      <c r="R660" s="22"/>
      <c r="S660" s="22"/>
      <c r="T660" s="115"/>
      <c r="U660" s="115"/>
      <c r="V660" s="22"/>
      <c r="W660" s="22"/>
      <c r="X660" s="22"/>
      <c r="Y660" s="22"/>
      <c r="Z660" s="22"/>
      <c r="AA660" s="115"/>
      <c r="AB660" s="115"/>
      <c r="AC660" s="22"/>
      <c r="AD660" s="22"/>
      <c r="AE660" s="22"/>
      <c r="AF660" s="22"/>
      <c r="AG660" s="22"/>
      <c r="AH660" s="115"/>
    </row>
    <row r="661" spans="6:34" x14ac:dyDescent="0.2">
      <c r="F661" s="1"/>
      <c r="N661" s="115"/>
      <c r="O661" s="22"/>
      <c r="P661" s="22"/>
      <c r="Q661" s="22"/>
      <c r="R661" s="22"/>
      <c r="S661" s="22"/>
      <c r="T661" s="115"/>
      <c r="U661" s="115"/>
      <c r="V661" s="22"/>
      <c r="W661" s="22"/>
      <c r="X661" s="22"/>
      <c r="Y661" s="22"/>
      <c r="Z661" s="22"/>
      <c r="AA661" s="115"/>
      <c r="AB661" s="115"/>
      <c r="AC661" s="22"/>
      <c r="AD661" s="22"/>
      <c r="AE661" s="22"/>
      <c r="AF661" s="22"/>
      <c r="AG661" s="22"/>
      <c r="AH661" s="115"/>
    </row>
    <row r="662" spans="6:34" x14ac:dyDescent="0.2">
      <c r="F662" s="1"/>
      <c r="N662" s="115"/>
      <c r="O662" s="22"/>
      <c r="P662" s="22"/>
      <c r="Q662" s="22"/>
      <c r="R662" s="22"/>
      <c r="S662" s="22"/>
      <c r="T662" s="115"/>
      <c r="U662" s="115"/>
      <c r="V662" s="22"/>
      <c r="W662" s="22"/>
      <c r="X662" s="22"/>
      <c r="Y662" s="22"/>
      <c r="Z662" s="22"/>
      <c r="AA662" s="115"/>
      <c r="AB662" s="115"/>
      <c r="AC662" s="22"/>
      <c r="AD662" s="22"/>
      <c r="AE662" s="22"/>
      <c r="AF662" s="22"/>
      <c r="AG662" s="22"/>
      <c r="AH662" s="115"/>
    </row>
    <row r="663" spans="6:34" x14ac:dyDescent="0.2">
      <c r="F663" s="1"/>
      <c r="N663" s="115"/>
      <c r="O663" s="22"/>
      <c r="P663" s="22"/>
      <c r="Q663" s="22"/>
      <c r="R663" s="22"/>
      <c r="S663" s="22"/>
      <c r="T663" s="115"/>
      <c r="U663" s="115"/>
      <c r="V663" s="22"/>
      <c r="W663" s="22"/>
      <c r="X663" s="22"/>
      <c r="Y663" s="22"/>
      <c r="Z663" s="22"/>
      <c r="AA663" s="115"/>
      <c r="AB663" s="115"/>
      <c r="AC663" s="22"/>
      <c r="AD663" s="22"/>
      <c r="AE663" s="22"/>
      <c r="AF663" s="22"/>
      <c r="AG663" s="22"/>
      <c r="AH663" s="115"/>
    </row>
    <row r="664" spans="6:34" x14ac:dyDescent="0.2">
      <c r="F664" s="1"/>
      <c r="N664" s="115"/>
      <c r="O664" s="22"/>
      <c r="P664" s="22"/>
      <c r="Q664" s="22"/>
      <c r="R664" s="22"/>
      <c r="S664" s="22"/>
      <c r="T664" s="115"/>
      <c r="U664" s="115"/>
      <c r="V664" s="22"/>
      <c r="W664" s="22"/>
      <c r="X664" s="22"/>
      <c r="Y664" s="22"/>
      <c r="Z664" s="22"/>
      <c r="AA664" s="115"/>
      <c r="AB664" s="115"/>
      <c r="AC664" s="22"/>
      <c r="AD664" s="22"/>
      <c r="AE664" s="22"/>
      <c r="AF664" s="22"/>
      <c r="AG664" s="22"/>
      <c r="AH664" s="115"/>
    </row>
    <row r="665" spans="6:34" x14ac:dyDescent="0.2">
      <c r="F665" s="1"/>
      <c r="N665" s="115"/>
      <c r="O665" s="22"/>
      <c r="P665" s="22"/>
      <c r="Q665" s="22"/>
      <c r="R665" s="22"/>
      <c r="S665" s="22"/>
      <c r="T665" s="115"/>
      <c r="U665" s="115"/>
      <c r="V665" s="22"/>
      <c r="W665" s="22"/>
      <c r="X665" s="22"/>
      <c r="Y665" s="22"/>
      <c r="Z665" s="22"/>
      <c r="AA665" s="115"/>
      <c r="AB665" s="115"/>
      <c r="AC665" s="22"/>
      <c r="AD665" s="22"/>
      <c r="AE665" s="22"/>
      <c r="AF665" s="22"/>
      <c r="AG665" s="22"/>
      <c r="AH665" s="115"/>
    </row>
    <row r="666" spans="6:34" x14ac:dyDescent="0.2">
      <c r="F666" s="1"/>
      <c r="N666" s="115"/>
      <c r="O666" s="22"/>
      <c r="P666" s="22"/>
      <c r="Q666" s="22"/>
      <c r="R666" s="22"/>
      <c r="S666" s="22"/>
      <c r="T666" s="115"/>
      <c r="U666" s="115"/>
      <c r="V666" s="22"/>
      <c r="W666" s="22"/>
      <c r="X666" s="22"/>
      <c r="Y666" s="22"/>
      <c r="Z666" s="22"/>
      <c r="AA666" s="115"/>
      <c r="AB666" s="115"/>
      <c r="AC666" s="22"/>
      <c r="AD666" s="22"/>
      <c r="AE666" s="22"/>
      <c r="AF666" s="22"/>
      <c r="AG666" s="22"/>
      <c r="AH666" s="115"/>
    </row>
    <row r="667" spans="6:34" x14ac:dyDescent="0.2">
      <c r="F667" s="1"/>
      <c r="N667" s="115"/>
      <c r="O667" s="22"/>
      <c r="P667" s="22"/>
      <c r="Q667" s="22"/>
      <c r="R667" s="22"/>
      <c r="S667" s="22"/>
      <c r="T667" s="115"/>
      <c r="U667" s="115"/>
      <c r="V667" s="22"/>
      <c r="W667" s="22"/>
      <c r="X667" s="22"/>
      <c r="Y667" s="22"/>
      <c r="Z667" s="22"/>
      <c r="AA667" s="115"/>
      <c r="AB667" s="115"/>
      <c r="AC667" s="22"/>
      <c r="AD667" s="22"/>
      <c r="AE667" s="22"/>
      <c r="AF667" s="22"/>
      <c r="AG667" s="22"/>
      <c r="AH667" s="115"/>
    </row>
    <row r="668" spans="6:34" x14ac:dyDescent="0.2">
      <c r="F668" s="1"/>
      <c r="N668" s="115"/>
      <c r="O668" s="22"/>
      <c r="P668" s="22"/>
      <c r="Q668" s="22"/>
      <c r="R668" s="22"/>
      <c r="S668" s="22"/>
      <c r="T668" s="115"/>
      <c r="U668" s="115"/>
      <c r="V668" s="22"/>
      <c r="W668" s="22"/>
      <c r="X668" s="22"/>
      <c r="Y668" s="22"/>
      <c r="Z668" s="22"/>
      <c r="AA668" s="115"/>
      <c r="AB668" s="115"/>
      <c r="AC668" s="22"/>
      <c r="AD668" s="22"/>
      <c r="AE668" s="22"/>
      <c r="AF668" s="22"/>
      <c r="AG668" s="22"/>
      <c r="AH668" s="115"/>
    </row>
    <row r="669" spans="6:34" x14ac:dyDescent="0.2">
      <c r="F669" s="1"/>
      <c r="N669" s="115"/>
      <c r="O669" s="22"/>
      <c r="P669" s="22"/>
      <c r="Q669" s="22"/>
      <c r="R669" s="22"/>
      <c r="S669" s="22"/>
      <c r="T669" s="115"/>
      <c r="U669" s="115"/>
      <c r="V669" s="22"/>
      <c r="W669" s="22"/>
      <c r="X669" s="22"/>
      <c r="Y669" s="22"/>
      <c r="Z669" s="22"/>
      <c r="AA669" s="115"/>
      <c r="AB669" s="115"/>
      <c r="AC669" s="22"/>
      <c r="AD669" s="22"/>
      <c r="AE669" s="22"/>
      <c r="AF669" s="22"/>
      <c r="AG669" s="22"/>
      <c r="AH669" s="115"/>
    </row>
    <row r="670" spans="6:34" x14ac:dyDescent="0.2">
      <c r="F670" s="1"/>
      <c r="N670" s="115"/>
      <c r="O670" s="22"/>
      <c r="P670" s="22"/>
      <c r="Q670" s="22"/>
      <c r="R670" s="22"/>
      <c r="S670" s="22"/>
      <c r="T670" s="115"/>
      <c r="U670" s="115"/>
      <c r="V670" s="22"/>
      <c r="W670" s="22"/>
      <c r="X670" s="22"/>
      <c r="Y670" s="22"/>
      <c r="Z670" s="22"/>
      <c r="AA670" s="115"/>
      <c r="AB670" s="115"/>
      <c r="AC670" s="22"/>
      <c r="AD670" s="22"/>
      <c r="AE670" s="22"/>
      <c r="AF670" s="22"/>
      <c r="AG670" s="22"/>
      <c r="AH670" s="115"/>
    </row>
    <row r="671" spans="6:34" x14ac:dyDescent="0.2">
      <c r="F671" s="1"/>
      <c r="N671" s="115"/>
      <c r="O671" s="22"/>
      <c r="P671" s="22"/>
      <c r="Q671" s="22"/>
      <c r="R671" s="22"/>
      <c r="S671" s="22"/>
      <c r="T671" s="115"/>
      <c r="U671" s="115"/>
      <c r="V671" s="22"/>
      <c r="W671" s="22"/>
      <c r="X671" s="22"/>
      <c r="Y671" s="22"/>
      <c r="Z671" s="22"/>
      <c r="AA671" s="115"/>
      <c r="AB671" s="115"/>
      <c r="AC671" s="22"/>
      <c r="AD671" s="22"/>
      <c r="AE671" s="22"/>
      <c r="AF671" s="22"/>
      <c r="AG671" s="22"/>
      <c r="AH671" s="115"/>
    </row>
    <row r="672" spans="6:34" x14ac:dyDescent="0.2">
      <c r="F672" s="1"/>
      <c r="N672" s="115"/>
      <c r="O672" s="22"/>
      <c r="P672" s="22"/>
      <c r="Q672" s="22"/>
      <c r="R672" s="22"/>
      <c r="S672" s="22"/>
      <c r="T672" s="115"/>
      <c r="U672" s="115"/>
      <c r="V672" s="22"/>
      <c r="W672" s="22"/>
      <c r="X672" s="22"/>
      <c r="Y672" s="22"/>
      <c r="Z672" s="22"/>
      <c r="AA672" s="115"/>
      <c r="AB672" s="115"/>
      <c r="AC672" s="22"/>
      <c r="AD672" s="22"/>
      <c r="AE672" s="22"/>
      <c r="AF672" s="22"/>
      <c r="AG672" s="22"/>
      <c r="AH672" s="115"/>
    </row>
    <row r="673" spans="6:34" x14ac:dyDescent="0.2">
      <c r="F673" s="1"/>
      <c r="N673" s="115"/>
      <c r="O673" s="22"/>
      <c r="P673" s="22"/>
      <c r="Q673" s="22"/>
      <c r="R673" s="22"/>
      <c r="S673" s="22"/>
      <c r="T673" s="115"/>
      <c r="U673" s="115"/>
      <c r="V673" s="22"/>
      <c r="W673" s="22"/>
      <c r="X673" s="22"/>
      <c r="Y673" s="22"/>
      <c r="Z673" s="22"/>
      <c r="AA673" s="115"/>
      <c r="AB673" s="115"/>
      <c r="AC673" s="22"/>
      <c r="AD673" s="22"/>
      <c r="AE673" s="22"/>
      <c r="AF673" s="22"/>
      <c r="AG673" s="22"/>
      <c r="AH673" s="115"/>
    </row>
    <row r="674" spans="6:34" x14ac:dyDescent="0.2">
      <c r="F674" s="1"/>
      <c r="N674" s="115"/>
      <c r="O674" s="22"/>
      <c r="P674" s="22"/>
      <c r="Q674" s="22"/>
      <c r="R674" s="22"/>
      <c r="S674" s="22"/>
      <c r="T674" s="115"/>
      <c r="U674" s="115"/>
      <c r="V674" s="22"/>
      <c r="W674" s="22"/>
      <c r="X674" s="22"/>
      <c r="Y674" s="22"/>
      <c r="Z674" s="22"/>
      <c r="AA674" s="115"/>
      <c r="AB674" s="115"/>
      <c r="AC674" s="22"/>
      <c r="AD674" s="22"/>
      <c r="AE674" s="22"/>
      <c r="AF674" s="22"/>
      <c r="AG674" s="22"/>
      <c r="AH674" s="115"/>
    </row>
    <row r="675" spans="6:34" x14ac:dyDescent="0.2">
      <c r="F675" s="1"/>
      <c r="N675" s="115"/>
      <c r="O675" s="22"/>
      <c r="P675" s="22"/>
      <c r="Q675" s="22"/>
      <c r="R675" s="22"/>
      <c r="S675" s="22"/>
      <c r="T675" s="115"/>
      <c r="U675" s="115"/>
      <c r="V675" s="22"/>
      <c r="W675" s="22"/>
      <c r="X675" s="22"/>
      <c r="Y675" s="22"/>
      <c r="Z675" s="22"/>
      <c r="AA675" s="115"/>
      <c r="AB675" s="115"/>
      <c r="AC675" s="22"/>
      <c r="AD675" s="22"/>
      <c r="AE675" s="22"/>
      <c r="AF675" s="22"/>
      <c r="AG675" s="22"/>
      <c r="AH675" s="115"/>
    </row>
    <row r="676" spans="6:34" x14ac:dyDescent="0.2">
      <c r="F676" s="1"/>
      <c r="N676" s="115"/>
      <c r="O676" s="22"/>
      <c r="P676" s="22"/>
      <c r="Q676" s="22"/>
      <c r="R676" s="22"/>
      <c r="S676" s="22"/>
      <c r="T676" s="115"/>
      <c r="U676" s="115"/>
      <c r="V676" s="22"/>
      <c r="W676" s="22"/>
      <c r="X676" s="22"/>
      <c r="Y676" s="22"/>
      <c r="Z676" s="22"/>
      <c r="AA676" s="115"/>
      <c r="AB676" s="115"/>
      <c r="AC676" s="22"/>
      <c r="AD676" s="22"/>
      <c r="AE676" s="22"/>
      <c r="AF676" s="22"/>
      <c r="AG676" s="22"/>
      <c r="AH676" s="115"/>
    </row>
    <row r="677" spans="6:34" x14ac:dyDescent="0.2">
      <c r="F677" s="1"/>
      <c r="N677" s="115"/>
      <c r="O677" s="22"/>
      <c r="P677" s="22"/>
      <c r="Q677" s="22"/>
      <c r="R677" s="22"/>
      <c r="S677" s="22"/>
      <c r="T677" s="115"/>
      <c r="U677" s="115"/>
      <c r="V677" s="22"/>
      <c r="W677" s="22"/>
      <c r="X677" s="22"/>
      <c r="Y677" s="22"/>
      <c r="Z677" s="22"/>
      <c r="AA677" s="115"/>
      <c r="AB677" s="115"/>
      <c r="AC677" s="22"/>
      <c r="AD677" s="22"/>
      <c r="AE677" s="22"/>
      <c r="AF677" s="22"/>
      <c r="AG677" s="22"/>
      <c r="AH677" s="115"/>
    </row>
    <row r="678" spans="6:34" x14ac:dyDescent="0.2">
      <c r="F678" s="1"/>
      <c r="N678" s="115"/>
      <c r="O678" s="22"/>
      <c r="P678" s="22"/>
      <c r="Q678" s="22"/>
      <c r="R678" s="22"/>
      <c r="S678" s="22"/>
      <c r="T678" s="115"/>
      <c r="U678" s="115"/>
      <c r="V678" s="22"/>
      <c r="W678" s="22"/>
      <c r="X678" s="22"/>
      <c r="Y678" s="22"/>
      <c r="Z678" s="22"/>
      <c r="AA678" s="115"/>
      <c r="AB678" s="115"/>
      <c r="AC678" s="22"/>
      <c r="AD678" s="22"/>
      <c r="AE678" s="22"/>
      <c r="AF678" s="22"/>
      <c r="AG678" s="22"/>
      <c r="AH678" s="115"/>
    </row>
    <row r="679" spans="6:34" x14ac:dyDescent="0.2">
      <c r="F679" s="1"/>
      <c r="N679" s="115"/>
      <c r="O679" s="22"/>
      <c r="P679" s="22"/>
      <c r="Q679" s="22"/>
      <c r="R679" s="22"/>
      <c r="S679" s="22"/>
      <c r="T679" s="115"/>
      <c r="U679" s="115"/>
      <c r="V679" s="22"/>
      <c r="W679" s="22"/>
      <c r="X679" s="22"/>
      <c r="Y679" s="22"/>
      <c r="Z679" s="22"/>
      <c r="AA679" s="115"/>
      <c r="AB679" s="115"/>
      <c r="AC679" s="22"/>
      <c r="AD679" s="22"/>
      <c r="AE679" s="22"/>
      <c r="AF679" s="22"/>
      <c r="AG679" s="22"/>
      <c r="AH679" s="115"/>
    </row>
    <row r="680" spans="6:34" x14ac:dyDescent="0.2">
      <c r="F680" s="1"/>
      <c r="N680" s="115"/>
      <c r="O680" s="22"/>
      <c r="P680" s="22"/>
      <c r="Q680" s="22"/>
      <c r="R680" s="22"/>
      <c r="S680" s="22"/>
      <c r="T680" s="115"/>
      <c r="U680" s="115"/>
      <c r="V680" s="22"/>
      <c r="W680" s="22"/>
      <c r="X680" s="22"/>
      <c r="Y680" s="22"/>
      <c r="Z680" s="22"/>
      <c r="AA680" s="115"/>
      <c r="AB680" s="115"/>
      <c r="AC680" s="22"/>
      <c r="AD680" s="22"/>
      <c r="AE680" s="22"/>
      <c r="AF680" s="22"/>
      <c r="AG680" s="22"/>
      <c r="AH680" s="115"/>
    </row>
    <row r="681" spans="6:34" x14ac:dyDescent="0.2">
      <c r="F681" s="1"/>
      <c r="N681" s="115"/>
      <c r="O681" s="22"/>
      <c r="P681" s="22"/>
      <c r="Q681" s="22"/>
      <c r="R681" s="22"/>
      <c r="S681" s="22"/>
      <c r="T681" s="115"/>
      <c r="U681" s="115"/>
      <c r="V681" s="22"/>
      <c r="W681" s="22"/>
      <c r="X681" s="22"/>
      <c r="Y681" s="22"/>
      <c r="Z681" s="22"/>
      <c r="AA681" s="115"/>
      <c r="AB681" s="115"/>
      <c r="AC681" s="22"/>
      <c r="AD681" s="22"/>
      <c r="AE681" s="22"/>
      <c r="AF681" s="22"/>
      <c r="AG681" s="22"/>
      <c r="AH681" s="115"/>
    </row>
    <row r="682" spans="6:34" x14ac:dyDescent="0.2">
      <c r="F682" s="1"/>
      <c r="N682" s="115"/>
      <c r="O682" s="22"/>
      <c r="P682" s="22"/>
      <c r="Q682" s="22"/>
      <c r="R682" s="22"/>
      <c r="S682" s="22"/>
      <c r="T682" s="115"/>
      <c r="U682" s="115"/>
      <c r="V682" s="22"/>
      <c r="W682" s="22"/>
      <c r="X682" s="22"/>
      <c r="Y682" s="22"/>
      <c r="Z682" s="22"/>
      <c r="AA682" s="115"/>
      <c r="AB682" s="115"/>
      <c r="AC682" s="22"/>
      <c r="AD682" s="22"/>
      <c r="AE682" s="22"/>
      <c r="AF682" s="22"/>
      <c r="AG682" s="22"/>
      <c r="AH682" s="115"/>
    </row>
    <row r="683" spans="6:34" x14ac:dyDescent="0.2">
      <c r="F683" s="1"/>
      <c r="N683" s="115"/>
      <c r="O683" s="22"/>
      <c r="P683" s="22"/>
      <c r="Q683" s="22"/>
      <c r="R683" s="22"/>
      <c r="S683" s="22"/>
      <c r="T683" s="115"/>
      <c r="U683" s="115"/>
      <c r="V683" s="22"/>
      <c r="W683" s="22"/>
      <c r="X683" s="22"/>
      <c r="Y683" s="22"/>
      <c r="Z683" s="22"/>
      <c r="AA683" s="115"/>
      <c r="AB683" s="115"/>
      <c r="AC683" s="22"/>
      <c r="AD683" s="22"/>
      <c r="AE683" s="22"/>
      <c r="AF683" s="22"/>
      <c r="AG683" s="22"/>
      <c r="AH683" s="115"/>
    </row>
    <row r="684" spans="6:34" x14ac:dyDescent="0.2">
      <c r="F684" s="1"/>
      <c r="N684" s="115"/>
      <c r="O684" s="22"/>
      <c r="P684" s="22"/>
      <c r="Q684" s="22"/>
      <c r="R684" s="22"/>
      <c r="S684" s="22"/>
      <c r="T684" s="115"/>
      <c r="U684" s="115"/>
      <c r="V684" s="22"/>
      <c r="W684" s="22"/>
      <c r="X684" s="22"/>
      <c r="Y684" s="22"/>
      <c r="Z684" s="22"/>
      <c r="AA684" s="115"/>
      <c r="AB684" s="115"/>
      <c r="AC684" s="22"/>
      <c r="AD684" s="22"/>
      <c r="AE684" s="22"/>
      <c r="AF684" s="22"/>
      <c r="AG684" s="22"/>
      <c r="AH684" s="115"/>
    </row>
    <row r="685" spans="6:34" x14ac:dyDescent="0.2">
      <c r="F685" s="1"/>
      <c r="N685" s="115"/>
      <c r="O685" s="22"/>
      <c r="P685" s="22"/>
      <c r="Q685" s="22"/>
      <c r="R685" s="22"/>
      <c r="S685" s="22"/>
      <c r="T685" s="115"/>
      <c r="U685" s="115"/>
      <c r="V685" s="22"/>
      <c r="W685" s="22"/>
      <c r="X685" s="22"/>
      <c r="Y685" s="22"/>
      <c r="Z685" s="22"/>
      <c r="AA685" s="115"/>
      <c r="AB685" s="115"/>
      <c r="AC685" s="22"/>
      <c r="AD685" s="22"/>
      <c r="AE685" s="22"/>
      <c r="AF685" s="22"/>
      <c r="AG685" s="22"/>
      <c r="AH685" s="115"/>
    </row>
    <row r="686" spans="6:34" x14ac:dyDescent="0.2">
      <c r="F686" s="1"/>
      <c r="N686" s="115"/>
      <c r="O686" s="22"/>
      <c r="P686" s="22"/>
      <c r="Q686" s="22"/>
      <c r="R686" s="22"/>
      <c r="S686" s="22"/>
      <c r="T686" s="115"/>
      <c r="U686" s="115"/>
      <c r="V686" s="22"/>
      <c r="W686" s="22"/>
      <c r="X686" s="22"/>
      <c r="Y686" s="22"/>
      <c r="Z686" s="22"/>
      <c r="AA686" s="115"/>
      <c r="AB686" s="115"/>
      <c r="AC686" s="22"/>
      <c r="AD686" s="22"/>
      <c r="AE686" s="22"/>
      <c r="AF686" s="22"/>
      <c r="AG686" s="22"/>
      <c r="AH686" s="115"/>
    </row>
    <row r="687" spans="6:34" x14ac:dyDescent="0.2">
      <c r="F687" s="1"/>
      <c r="N687" s="115"/>
      <c r="O687" s="22"/>
      <c r="P687" s="22"/>
      <c r="Q687" s="22"/>
      <c r="R687" s="22"/>
      <c r="S687" s="22"/>
      <c r="T687" s="115"/>
      <c r="U687" s="115"/>
      <c r="V687" s="22"/>
      <c r="W687" s="22"/>
      <c r="X687" s="22"/>
      <c r="Y687" s="22"/>
      <c r="Z687" s="22"/>
      <c r="AA687" s="115"/>
      <c r="AB687" s="115"/>
      <c r="AC687" s="22"/>
      <c r="AD687" s="22"/>
      <c r="AE687" s="22"/>
      <c r="AF687" s="22"/>
      <c r="AG687" s="22"/>
      <c r="AH687" s="115"/>
    </row>
    <row r="688" spans="6:34" x14ac:dyDescent="0.2">
      <c r="F688" s="1"/>
      <c r="N688" s="115"/>
      <c r="O688" s="22"/>
      <c r="P688" s="22"/>
      <c r="Q688" s="22"/>
      <c r="R688" s="22"/>
      <c r="S688" s="22"/>
      <c r="T688" s="115"/>
      <c r="U688" s="115"/>
      <c r="V688" s="22"/>
      <c r="W688" s="22"/>
      <c r="X688" s="22"/>
      <c r="Y688" s="22"/>
      <c r="Z688" s="22"/>
      <c r="AA688" s="115"/>
      <c r="AB688" s="115"/>
      <c r="AC688" s="22"/>
      <c r="AD688" s="22"/>
      <c r="AE688" s="22"/>
      <c r="AF688" s="22"/>
      <c r="AG688" s="22"/>
      <c r="AH688" s="115"/>
    </row>
    <row r="689" spans="6:34" x14ac:dyDescent="0.2">
      <c r="F689" s="1"/>
      <c r="N689" s="115"/>
      <c r="O689" s="22"/>
      <c r="P689" s="22"/>
      <c r="Q689" s="22"/>
      <c r="R689" s="22"/>
      <c r="S689" s="22"/>
      <c r="T689" s="115"/>
      <c r="U689" s="115"/>
      <c r="V689" s="22"/>
      <c r="W689" s="22"/>
      <c r="X689" s="22"/>
      <c r="Y689" s="22"/>
      <c r="Z689" s="22"/>
      <c r="AA689" s="115"/>
      <c r="AB689" s="115"/>
      <c r="AC689" s="22"/>
      <c r="AD689" s="22"/>
      <c r="AE689" s="22"/>
      <c r="AF689" s="22"/>
      <c r="AG689" s="22"/>
      <c r="AH689" s="115"/>
    </row>
    <row r="690" spans="6:34" x14ac:dyDescent="0.2">
      <c r="F690" s="1"/>
      <c r="N690" s="115"/>
      <c r="O690" s="22"/>
      <c r="P690" s="22"/>
      <c r="Q690" s="22"/>
      <c r="R690" s="22"/>
      <c r="S690" s="22"/>
      <c r="T690" s="115"/>
      <c r="U690" s="115"/>
      <c r="V690" s="22"/>
      <c r="W690" s="22"/>
      <c r="X690" s="22"/>
      <c r="Y690" s="22"/>
      <c r="Z690" s="22"/>
      <c r="AA690" s="115"/>
      <c r="AB690" s="115"/>
      <c r="AC690" s="22"/>
      <c r="AD690" s="22"/>
      <c r="AE690" s="22"/>
      <c r="AF690" s="22"/>
      <c r="AG690" s="22"/>
      <c r="AH690" s="115"/>
    </row>
    <row r="691" spans="6:34" x14ac:dyDescent="0.2">
      <c r="F691" s="1"/>
      <c r="N691" s="115"/>
      <c r="O691" s="22"/>
      <c r="P691" s="22"/>
      <c r="Q691" s="22"/>
      <c r="R691" s="22"/>
      <c r="S691" s="22"/>
      <c r="T691" s="115"/>
      <c r="U691" s="115"/>
      <c r="V691" s="22"/>
      <c r="W691" s="22"/>
      <c r="X691" s="22"/>
      <c r="Y691" s="22"/>
      <c r="Z691" s="22"/>
      <c r="AA691" s="115"/>
      <c r="AB691" s="115"/>
      <c r="AC691" s="22"/>
      <c r="AD691" s="22"/>
      <c r="AE691" s="22"/>
      <c r="AF691" s="22"/>
      <c r="AG691" s="22"/>
      <c r="AH691" s="115"/>
    </row>
    <row r="692" spans="6:34" x14ac:dyDescent="0.2">
      <c r="F692" s="1"/>
      <c r="N692" s="115"/>
      <c r="O692" s="22"/>
      <c r="P692" s="22"/>
      <c r="Q692" s="22"/>
      <c r="R692" s="22"/>
      <c r="S692" s="22"/>
      <c r="T692" s="115"/>
      <c r="U692" s="115"/>
      <c r="V692" s="22"/>
      <c r="W692" s="22"/>
      <c r="X692" s="22"/>
      <c r="Y692" s="22"/>
      <c r="Z692" s="22"/>
      <c r="AA692" s="115"/>
      <c r="AB692" s="115"/>
      <c r="AC692" s="22"/>
      <c r="AD692" s="22"/>
      <c r="AE692" s="22"/>
      <c r="AF692" s="22"/>
      <c r="AG692" s="22"/>
      <c r="AH692" s="115"/>
    </row>
    <row r="693" spans="6:34" x14ac:dyDescent="0.2">
      <c r="F693" s="1"/>
      <c r="N693" s="115"/>
      <c r="O693" s="22"/>
      <c r="P693" s="22"/>
      <c r="Q693" s="22"/>
      <c r="R693" s="22"/>
      <c r="S693" s="22"/>
      <c r="T693" s="115"/>
      <c r="U693" s="115"/>
      <c r="V693" s="22"/>
      <c r="W693" s="22"/>
      <c r="X693" s="22"/>
      <c r="Y693" s="22"/>
      <c r="Z693" s="22"/>
      <c r="AA693" s="115"/>
      <c r="AB693" s="115"/>
      <c r="AC693" s="22"/>
      <c r="AD693" s="22"/>
      <c r="AE693" s="22"/>
      <c r="AF693" s="22"/>
      <c r="AG693" s="22"/>
      <c r="AH693" s="115"/>
    </row>
    <row r="694" spans="6:34" x14ac:dyDescent="0.2">
      <c r="F694" s="1"/>
      <c r="N694" s="115"/>
      <c r="O694" s="22"/>
      <c r="P694" s="22"/>
      <c r="Q694" s="22"/>
      <c r="R694" s="22"/>
      <c r="S694" s="22"/>
      <c r="T694" s="115"/>
      <c r="U694" s="115"/>
      <c r="V694" s="22"/>
      <c r="W694" s="22"/>
      <c r="X694" s="22"/>
      <c r="Y694" s="22"/>
      <c r="Z694" s="22"/>
      <c r="AA694" s="115"/>
      <c r="AB694" s="115"/>
      <c r="AC694" s="22"/>
      <c r="AD694" s="22"/>
      <c r="AE694" s="22"/>
      <c r="AF694" s="22"/>
      <c r="AG694" s="22"/>
      <c r="AH694" s="115"/>
    </row>
    <row r="695" spans="6:34" x14ac:dyDescent="0.2">
      <c r="F695" s="1"/>
      <c r="N695" s="115"/>
      <c r="O695" s="22"/>
      <c r="P695" s="22"/>
      <c r="Q695" s="22"/>
      <c r="R695" s="22"/>
      <c r="S695" s="22"/>
      <c r="T695" s="115"/>
      <c r="U695" s="115"/>
      <c r="V695" s="22"/>
      <c r="W695" s="22"/>
      <c r="X695" s="22"/>
      <c r="Y695" s="22"/>
      <c r="Z695" s="22"/>
      <c r="AA695" s="115"/>
      <c r="AB695" s="115"/>
      <c r="AC695" s="22"/>
      <c r="AD695" s="22"/>
      <c r="AE695" s="22"/>
      <c r="AF695" s="22"/>
      <c r="AG695" s="22"/>
      <c r="AH695" s="115"/>
    </row>
    <row r="696" spans="6:34" x14ac:dyDescent="0.2">
      <c r="F696" s="1"/>
      <c r="N696" s="115"/>
      <c r="O696" s="22"/>
      <c r="P696" s="22"/>
      <c r="Q696" s="22"/>
      <c r="R696" s="22"/>
      <c r="S696" s="22"/>
      <c r="T696" s="115"/>
      <c r="U696" s="115"/>
      <c r="V696" s="22"/>
      <c r="W696" s="22"/>
      <c r="X696" s="22"/>
      <c r="Y696" s="22"/>
      <c r="Z696" s="22"/>
      <c r="AA696" s="115"/>
      <c r="AB696" s="115"/>
      <c r="AC696" s="22"/>
      <c r="AD696" s="22"/>
      <c r="AE696" s="22"/>
      <c r="AF696" s="22"/>
      <c r="AG696" s="22"/>
      <c r="AH696" s="115"/>
    </row>
    <row r="697" spans="6:34" x14ac:dyDescent="0.2">
      <c r="F697" s="1"/>
      <c r="N697" s="115"/>
      <c r="O697" s="22"/>
      <c r="P697" s="22"/>
      <c r="Q697" s="22"/>
      <c r="R697" s="22"/>
      <c r="S697" s="22"/>
      <c r="T697" s="115"/>
      <c r="U697" s="115"/>
      <c r="V697" s="22"/>
      <c r="W697" s="22"/>
      <c r="X697" s="22"/>
      <c r="Y697" s="22"/>
      <c r="Z697" s="22"/>
      <c r="AA697" s="115"/>
      <c r="AB697" s="115"/>
      <c r="AC697" s="22"/>
      <c r="AD697" s="22"/>
      <c r="AE697" s="22"/>
      <c r="AF697" s="22"/>
      <c r="AG697" s="22"/>
      <c r="AH697" s="115"/>
    </row>
    <row r="698" spans="6:34" x14ac:dyDescent="0.2">
      <c r="F698" s="1"/>
      <c r="N698" s="115"/>
      <c r="O698" s="22"/>
      <c r="P698" s="22"/>
      <c r="Q698" s="22"/>
      <c r="R698" s="22"/>
      <c r="S698" s="22"/>
      <c r="T698" s="115"/>
      <c r="U698" s="115"/>
      <c r="V698" s="22"/>
      <c r="W698" s="22"/>
      <c r="X698" s="22"/>
      <c r="Y698" s="22"/>
      <c r="Z698" s="22"/>
      <c r="AA698" s="115"/>
      <c r="AB698" s="115"/>
      <c r="AC698" s="22"/>
      <c r="AD698" s="22"/>
      <c r="AE698" s="22"/>
      <c r="AF698" s="22"/>
      <c r="AG698" s="22"/>
      <c r="AH698" s="115"/>
    </row>
    <row r="699" spans="6:34" x14ac:dyDescent="0.2">
      <c r="F699" s="1"/>
      <c r="N699" s="115"/>
      <c r="O699" s="22"/>
      <c r="P699" s="22"/>
      <c r="Q699" s="22"/>
      <c r="R699" s="22"/>
      <c r="S699" s="22"/>
      <c r="T699" s="115"/>
      <c r="U699" s="115"/>
      <c r="V699" s="22"/>
      <c r="W699" s="22"/>
      <c r="X699" s="22"/>
      <c r="Y699" s="22"/>
      <c r="Z699" s="22"/>
      <c r="AA699" s="115"/>
      <c r="AB699" s="115"/>
      <c r="AC699" s="22"/>
      <c r="AD699" s="22"/>
      <c r="AE699" s="22"/>
      <c r="AF699" s="22"/>
      <c r="AG699" s="22"/>
      <c r="AH699" s="115"/>
    </row>
    <row r="700" spans="6:34" x14ac:dyDescent="0.2">
      <c r="F700" s="1"/>
      <c r="N700" s="115"/>
      <c r="O700" s="22"/>
      <c r="P700" s="22"/>
      <c r="Q700" s="22"/>
      <c r="R700" s="22"/>
      <c r="S700" s="22"/>
      <c r="T700" s="115"/>
      <c r="U700" s="115"/>
      <c r="V700" s="22"/>
      <c r="W700" s="22"/>
      <c r="X700" s="22"/>
      <c r="Y700" s="22"/>
      <c r="Z700" s="22"/>
      <c r="AA700" s="115"/>
      <c r="AB700" s="115"/>
      <c r="AC700" s="22"/>
      <c r="AD700" s="22"/>
      <c r="AE700" s="22"/>
      <c r="AF700" s="22"/>
      <c r="AG700" s="22"/>
      <c r="AH700" s="115"/>
    </row>
    <row r="701" spans="6:34" x14ac:dyDescent="0.2">
      <c r="F701" s="1"/>
      <c r="N701" s="115"/>
      <c r="O701" s="22"/>
      <c r="P701" s="22"/>
      <c r="Q701" s="22"/>
      <c r="R701" s="22"/>
      <c r="S701" s="22"/>
      <c r="T701" s="115"/>
      <c r="U701" s="115"/>
      <c r="V701" s="22"/>
      <c r="W701" s="22"/>
      <c r="X701" s="22"/>
      <c r="Y701" s="22"/>
      <c r="Z701" s="22"/>
      <c r="AA701" s="115"/>
      <c r="AB701" s="115"/>
      <c r="AC701" s="22"/>
      <c r="AD701" s="22"/>
      <c r="AE701" s="22"/>
      <c r="AF701" s="22"/>
      <c r="AG701" s="22"/>
      <c r="AH701" s="115"/>
    </row>
    <row r="702" spans="6:34" x14ac:dyDescent="0.2">
      <c r="F702" s="1"/>
      <c r="N702" s="115"/>
      <c r="O702" s="22"/>
      <c r="P702" s="22"/>
      <c r="Q702" s="22"/>
      <c r="R702" s="22"/>
      <c r="S702" s="22"/>
      <c r="T702" s="115"/>
      <c r="U702" s="115"/>
      <c r="V702" s="22"/>
      <c r="W702" s="22"/>
      <c r="X702" s="22"/>
      <c r="Y702" s="22"/>
      <c r="Z702" s="22"/>
      <c r="AA702" s="115"/>
      <c r="AB702" s="115"/>
      <c r="AC702" s="22"/>
      <c r="AD702" s="22"/>
      <c r="AE702" s="22"/>
      <c r="AF702" s="22"/>
      <c r="AG702" s="22"/>
      <c r="AH702" s="115"/>
    </row>
    <row r="703" spans="6:34" x14ac:dyDescent="0.2">
      <c r="F703" s="1"/>
      <c r="N703" s="115"/>
      <c r="O703" s="22"/>
      <c r="P703" s="22"/>
      <c r="Q703" s="22"/>
      <c r="R703" s="22"/>
      <c r="S703" s="22"/>
      <c r="T703" s="115"/>
      <c r="U703" s="115"/>
      <c r="V703" s="22"/>
      <c r="W703" s="22"/>
      <c r="X703" s="22"/>
      <c r="Y703" s="22"/>
      <c r="Z703" s="22"/>
      <c r="AA703" s="115"/>
      <c r="AB703" s="115"/>
      <c r="AC703" s="22"/>
      <c r="AD703" s="22"/>
      <c r="AE703" s="22"/>
      <c r="AF703" s="22"/>
      <c r="AG703" s="22"/>
      <c r="AH703" s="115"/>
    </row>
    <row r="704" spans="6:34" x14ac:dyDescent="0.2">
      <c r="F704" s="1"/>
      <c r="N704" s="115"/>
      <c r="O704" s="22"/>
      <c r="P704" s="22"/>
      <c r="Q704" s="22"/>
      <c r="R704" s="22"/>
      <c r="S704" s="22"/>
      <c r="T704" s="115"/>
      <c r="U704" s="115"/>
      <c r="V704" s="22"/>
      <c r="W704" s="22"/>
      <c r="X704" s="22"/>
      <c r="Y704" s="22"/>
      <c r="Z704" s="22"/>
      <c r="AA704" s="115"/>
      <c r="AB704" s="115"/>
      <c r="AC704" s="22"/>
      <c r="AD704" s="22"/>
      <c r="AE704" s="22"/>
      <c r="AF704" s="22"/>
      <c r="AG704" s="22"/>
      <c r="AH704" s="115"/>
    </row>
    <row r="705" spans="6:34" x14ac:dyDescent="0.2">
      <c r="F705" s="1"/>
      <c r="N705" s="115"/>
      <c r="O705" s="22"/>
      <c r="P705" s="22"/>
      <c r="Q705" s="22"/>
      <c r="R705" s="22"/>
      <c r="S705" s="22"/>
      <c r="T705" s="115"/>
      <c r="U705" s="115"/>
      <c r="V705" s="22"/>
      <c r="W705" s="22"/>
      <c r="X705" s="22"/>
      <c r="Y705" s="22"/>
      <c r="Z705" s="22"/>
      <c r="AA705" s="115"/>
      <c r="AB705" s="115"/>
      <c r="AC705" s="22"/>
      <c r="AD705" s="22"/>
      <c r="AE705" s="22"/>
      <c r="AF705" s="22"/>
      <c r="AG705" s="22"/>
      <c r="AH705" s="115"/>
    </row>
    <row r="706" spans="6:34" x14ac:dyDescent="0.2">
      <c r="F706" s="1"/>
      <c r="N706" s="115"/>
      <c r="O706" s="22"/>
      <c r="P706" s="22"/>
      <c r="Q706" s="22"/>
      <c r="R706" s="22"/>
      <c r="S706" s="22"/>
      <c r="T706" s="115"/>
      <c r="U706" s="115"/>
      <c r="V706" s="22"/>
      <c r="W706" s="22"/>
      <c r="X706" s="22"/>
      <c r="Y706" s="22"/>
      <c r="Z706" s="22"/>
      <c r="AA706" s="115"/>
      <c r="AB706" s="115"/>
      <c r="AC706" s="22"/>
      <c r="AD706" s="22"/>
      <c r="AE706" s="22"/>
      <c r="AF706" s="22"/>
      <c r="AG706" s="22"/>
      <c r="AH706" s="115"/>
    </row>
    <row r="707" spans="6:34" x14ac:dyDescent="0.2">
      <c r="F707" s="1"/>
      <c r="N707" s="115"/>
      <c r="O707" s="22"/>
      <c r="P707" s="22"/>
      <c r="Q707" s="22"/>
      <c r="R707" s="22"/>
      <c r="S707" s="22"/>
      <c r="T707" s="115"/>
      <c r="U707" s="115"/>
      <c r="V707" s="22"/>
      <c r="W707" s="22"/>
      <c r="X707" s="22"/>
      <c r="Y707" s="22"/>
      <c r="Z707" s="22"/>
      <c r="AA707" s="115"/>
      <c r="AB707" s="115"/>
      <c r="AC707" s="22"/>
      <c r="AD707" s="22"/>
      <c r="AE707" s="22"/>
      <c r="AF707" s="22"/>
      <c r="AG707" s="22"/>
      <c r="AH707" s="115"/>
    </row>
    <row r="708" spans="6:34" x14ac:dyDescent="0.2">
      <c r="F708" s="1"/>
      <c r="N708" s="115"/>
      <c r="O708" s="22"/>
      <c r="P708" s="22"/>
      <c r="Q708" s="22"/>
      <c r="R708" s="22"/>
      <c r="S708" s="22"/>
      <c r="T708" s="115"/>
      <c r="U708" s="115"/>
      <c r="V708" s="22"/>
      <c r="W708" s="22"/>
      <c r="X708" s="22"/>
      <c r="Y708" s="22"/>
      <c r="Z708" s="22"/>
      <c r="AA708" s="115"/>
      <c r="AB708" s="115"/>
      <c r="AC708" s="22"/>
      <c r="AD708" s="22"/>
      <c r="AE708" s="22"/>
      <c r="AF708" s="22"/>
      <c r="AG708" s="22"/>
      <c r="AH708" s="115"/>
    </row>
    <row r="709" spans="6:34" x14ac:dyDescent="0.2">
      <c r="F709" s="1"/>
      <c r="N709" s="115"/>
      <c r="O709" s="22"/>
      <c r="P709" s="22"/>
      <c r="Q709" s="22"/>
      <c r="R709" s="22"/>
      <c r="S709" s="22"/>
      <c r="T709" s="115"/>
      <c r="U709" s="115"/>
      <c r="V709" s="22"/>
      <c r="W709" s="22"/>
      <c r="X709" s="22"/>
      <c r="Y709" s="22"/>
      <c r="Z709" s="22"/>
      <c r="AA709" s="115"/>
      <c r="AB709" s="115"/>
      <c r="AC709" s="22"/>
      <c r="AD709" s="22"/>
      <c r="AE709" s="22"/>
      <c r="AF709" s="22"/>
      <c r="AG709" s="22"/>
      <c r="AH709" s="115"/>
    </row>
    <row r="710" spans="6:34" x14ac:dyDescent="0.2">
      <c r="F710" s="1"/>
      <c r="N710" s="115"/>
      <c r="O710" s="22"/>
      <c r="P710" s="22"/>
      <c r="Q710" s="22"/>
      <c r="R710" s="22"/>
      <c r="S710" s="22"/>
      <c r="T710" s="115"/>
      <c r="U710" s="115"/>
      <c r="V710" s="22"/>
      <c r="W710" s="22"/>
      <c r="X710" s="22"/>
      <c r="Y710" s="22"/>
      <c r="Z710" s="22"/>
      <c r="AA710" s="115"/>
      <c r="AB710" s="115"/>
      <c r="AC710" s="22"/>
      <c r="AD710" s="22"/>
      <c r="AE710" s="22"/>
      <c r="AF710" s="22"/>
      <c r="AG710" s="22"/>
      <c r="AH710" s="115"/>
    </row>
    <row r="711" spans="6:34" x14ac:dyDescent="0.2">
      <c r="F711" s="1"/>
      <c r="N711" s="115"/>
      <c r="O711" s="22"/>
      <c r="P711" s="22"/>
      <c r="Q711" s="22"/>
      <c r="R711" s="22"/>
      <c r="S711" s="22"/>
      <c r="T711" s="115"/>
      <c r="U711" s="115"/>
      <c r="V711" s="22"/>
      <c r="W711" s="22"/>
      <c r="X711" s="22"/>
      <c r="Y711" s="22"/>
      <c r="Z711" s="22"/>
      <c r="AA711" s="115"/>
      <c r="AB711" s="115"/>
      <c r="AC711" s="22"/>
      <c r="AD711" s="22"/>
      <c r="AE711" s="22"/>
      <c r="AF711" s="22"/>
      <c r="AG711" s="22"/>
      <c r="AH711" s="115"/>
    </row>
    <row r="712" spans="6:34" x14ac:dyDescent="0.2">
      <c r="F712" s="1"/>
      <c r="N712" s="115"/>
      <c r="O712" s="22"/>
      <c r="P712" s="22"/>
      <c r="Q712" s="22"/>
      <c r="R712" s="22"/>
      <c r="S712" s="22"/>
      <c r="T712" s="115"/>
      <c r="U712" s="115"/>
      <c r="V712" s="22"/>
      <c r="W712" s="22"/>
      <c r="X712" s="22"/>
      <c r="Y712" s="22"/>
      <c r="Z712" s="22"/>
      <c r="AA712" s="115"/>
      <c r="AB712" s="115"/>
      <c r="AC712" s="22"/>
      <c r="AD712" s="22"/>
      <c r="AE712" s="22"/>
      <c r="AF712" s="22"/>
      <c r="AG712" s="22"/>
      <c r="AH712" s="115"/>
    </row>
    <row r="713" spans="6:34" x14ac:dyDescent="0.2">
      <c r="F713" s="1"/>
      <c r="N713" s="115"/>
      <c r="O713" s="22"/>
      <c r="P713" s="22"/>
      <c r="Q713" s="22"/>
      <c r="R713" s="22"/>
      <c r="S713" s="22"/>
      <c r="T713" s="115"/>
      <c r="U713" s="115"/>
      <c r="V713" s="22"/>
      <c r="W713" s="22"/>
      <c r="X713" s="22"/>
      <c r="Y713" s="22"/>
      <c r="Z713" s="22"/>
      <c r="AA713" s="115"/>
      <c r="AB713" s="115"/>
      <c r="AC713" s="22"/>
      <c r="AD713" s="22"/>
      <c r="AE713" s="22"/>
      <c r="AF713" s="22"/>
      <c r="AG713" s="22"/>
      <c r="AH713" s="115"/>
    </row>
    <row r="714" spans="6:34" x14ac:dyDescent="0.2">
      <c r="F714" s="1"/>
      <c r="N714" s="115"/>
      <c r="O714" s="22"/>
      <c r="P714" s="22"/>
      <c r="Q714" s="22"/>
      <c r="R714" s="22"/>
      <c r="S714" s="22"/>
      <c r="T714" s="115"/>
      <c r="U714" s="115"/>
      <c r="V714" s="22"/>
      <c r="W714" s="22"/>
      <c r="X714" s="22"/>
      <c r="Y714" s="22"/>
      <c r="Z714" s="22"/>
      <c r="AA714" s="115"/>
      <c r="AB714" s="115"/>
      <c r="AC714" s="22"/>
      <c r="AD714" s="22"/>
      <c r="AE714" s="22"/>
      <c r="AF714" s="22"/>
      <c r="AG714" s="22"/>
      <c r="AH714" s="115"/>
    </row>
    <row r="715" spans="6:34" x14ac:dyDescent="0.2">
      <c r="F715" s="1"/>
      <c r="N715" s="115"/>
      <c r="O715" s="22"/>
      <c r="P715" s="22"/>
      <c r="Q715" s="22"/>
      <c r="R715" s="22"/>
      <c r="S715" s="22"/>
      <c r="T715" s="115"/>
      <c r="U715" s="115"/>
      <c r="V715" s="22"/>
      <c r="W715" s="22"/>
      <c r="X715" s="22"/>
      <c r="Y715" s="22"/>
      <c r="Z715" s="22"/>
      <c r="AA715" s="115"/>
      <c r="AB715" s="115"/>
      <c r="AC715" s="22"/>
      <c r="AD715" s="22"/>
      <c r="AE715" s="22"/>
      <c r="AF715" s="22"/>
      <c r="AG715" s="22"/>
      <c r="AH715" s="115"/>
    </row>
    <row r="716" spans="6:34" x14ac:dyDescent="0.2">
      <c r="F716" s="1"/>
      <c r="N716" s="115"/>
      <c r="O716" s="22"/>
      <c r="P716" s="22"/>
      <c r="Q716" s="22"/>
      <c r="R716" s="22"/>
      <c r="S716" s="22"/>
      <c r="T716" s="115"/>
      <c r="U716" s="115"/>
      <c r="V716" s="22"/>
      <c r="W716" s="22"/>
      <c r="X716" s="22"/>
      <c r="Y716" s="22"/>
      <c r="Z716" s="22"/>
      <c r="AA716" s="115"/>
      <c r="AB716" s="115"/>
      <c r="AC716" s="22"/>
      <c r="AD716" s="22"/>
      <c r="AE716" s="22"/>
      <c r="AF716" s="22"/>
      <c r="AG716" s="22"/>
      <c r="AH716" s="115"/>
    </row>
    <row r="717" spans="6:34" x14ac:dyDescent="0.2">
      <c r="F717" s="1"/>
      <c r="N717" s="115"/>
      <c r="O717" s="22"/>
      <c r="P717" s="22"/>
      <c r="Q717" s="22"/>
      <c r="R717" s="22"/>
      <c r="S717" s="22"/>
      <c r="T717" s="115"/>
      <c r="U717" s="115"/>
      <c r="V717" s="22"/>
      <c r="W717" s="22"/>
      <c r="X717" s="22"/>
      <c r="Y717" s="22"/>
      <c r="Z717" s="22"/>
      <c r="AA717" s="115"/>
      <c r="AB717" s="115"/>
      <c r="AC717" s="22"/>
      <c r="AD717" s="22"/>
      <c r="AE717" s="22"/>
      <c r="AF717" s="22"/>
      <c r="AG717" s="22"/>
      <c r="AH717" s="115"/>
    </row>
    <row r="718" spans="6:34" x14ac:dyDescent="0.2">
      <c r="F718" s="1"/>
      <c r="N718" s="115"/>
      <c r="O718" s="22"/>
      <c r="P718" s="22"/>
      <c r="Q718" s="22"/>
      <c r="R718" s="22"/>
      <c r="S718" s="22"/>
      <c r="T718" s="115"/>
      <c r="U718" s="115"/>
      <c r="V718" s="22"/>
      <c r="W718" s="22"/>
      <c r="X718" s="22"/>
      <c r="Y718" s="22"/>
      <c r="Z718" s="22"/>
      <c r="AA718" s="115"/>
      <c r="AB718" s="115"/>
      <c r="AC718" s="22"/>
      <c r="AD718" s="22"/>
      <c r="AE718" s="22"/>
      <c r="AF718" s="22"/>
      <c r="AG718" s="22"/>
      <c r="AH718" s="115"/>
    </row>
    <row r="719" spans="6:34" x14ac:dyDescent="0.2">
      <c r="F719" s="1"/>
      <c r="N719" s="115"/>
      <c r="O719" s="22"/>
      <c r="P719" s="22"/>
      <c r="Q719" s="22"/>
      <c r="R719" s="22"/>
      <c r="S719" s="22"/>
      <c r="T719" s="115"/>
      <c r="U719" s="115"/>
      <c r="V719" s="22"/>
      <c r="W719" s="22"/>
      <c r="X719" s="22"/>
      <c r="Y719" s="22"/>
      <c r="Z719" s="22"/>
      <c r="AA719" s="115"/>
      <c r="AB719" s="115"/>
      <c r="AC719" s="22"/>
      <c r="AD719" s="22"/>
      <c r="AE719" s="22"/>
      <c r="AF719" s="22"/>
      <c r="AG719" s="22"/>
      <c r="AH719" s="115"/>
    </row>
    <row r="720" spans="6:34" x14ac:dyDescent="0.2">
      <c r="F720" s="1"/>
      <c r="N720" s="115"/>
      <c r="O720" s="22"/>
      <c r="P720" s="22"/>
      <c r="Q720" s="22"/>
      <c r="R720" s="22"/>
      <c r="S720" s="22"/>
      <c r="T720" s="115"/>
      <c r="U720" s="115"/>
      <c r="V720" s="22"/>
      <c r="W720" s="22"/>
      <c r="X720" s="22"/>
      <c r="Y720" s="22"/>
      <c r="Z720" s="22"/>
      <c r="AA720" s="115"/>
      <c r="AB720" s="115"/>
      <c r="AC720" s="22"/>
      <c r="AD720" s="22"/>
      <c r="AE720" s="22"/>
      <c r="AF720" s="22"/>
      <c r="AG720" s="22"/>
      <c r="AH720" s="115"/>
    </row>
    <row r="721" spans="6:34" x14ac:dyDescent="0.2">
      <c r="F721" s="1"/>
      <c r="N721" s="115"/>
      <c r="O721" s="22"/>
      <c r="P721" s="22"/>
      <c r="Q721" s="22"/>
      <c r="R721" s="22"/>
      <c r="S721" s="22"/>
      <c r="T721" s="115"/>
      <c r="U721" s="115"/>
      <c r="V721" s="22"/>
      <c r="W721" s="22"/>
      <c r="X721" s="22"/>
      <c r="Y721" s="22"/>
      <c r="Z721" s="22"/>
      <c r="AA721" s="115"/>
      <c r="AB721" s="115"/>
      <c r="AC721" s="22"/>
      <c r="AD721" s="22"/>
      <c r="AE721" s="22"/>
      <c r="AF721" s="22"/>
      <c r="AG721" s="22"/>
      <c r="AH721" s="115"/>
    </row>
    <row r="722" spans="6:34" x14ac:dyDescent="0.2">
      <c r="F722" s="1"/>
      <c r="N722" s="115"/>
      <c r="O722" s="22"/>
      <c r="P722" s="22"/>
      <c r="Q722" s="22"/>
      <c r="R722" s="22"/>
      <c r="S722" s="22"/>
      <c r="T722" s="115"/>
      <c r="U722" s="115"/>
      <c r="V722" s="22"/>
      <c r="W722" s="22"/>
      <c r="X722" s="22"/>
      <c r="Y722" s="22"/>
      <c r="Z722" s="22"/>
      <c r="AA722" s="115"/>
      <c r="AB722" s="115"/>
      <c r="AC722" s="22"/>
      <c r="AD722" s="22"/>
      <c r="AE722" s="22"/>
      <c r="AF722" s="22"/>
      <c r="AG722" s="22"/>
      <c r="AH722" s="115"/>
    </row>
    <row r="723" spans="6:34" x14ac:dyDescent="0.2">
      <c r="F723" s="1"/>
      <c r="N723" s="115"/>
      <c r="O723" s="22"/>
      <c r="P723" s="22"/>
      <c r="Q723" s="22"/>
      <c r="R723" s="22"/>
      <c r="S723" s="22"/>
      <c r="T723" s="115"/>
      <c r="U723" s="115"/>
      <c r="V723" s="22"/>
      <c r="W723" s="22"/>
      <c r="X723" s="22"/>
      <c r="Y723" s="22"/>
      <c r="Z723" s="22"/>
      <c r="AA723" s="115"/>
      <c r="AB723" s="115"/>
      <c r="AC723" s="22"/>
      <c r="AD723" s="22"/>
      <c r="AE723" s="22"/>
      <c r="AF723" s="22"/>
      <c r="AG723" s="22"/>
      <c r="AH723" s="115"/>
    </row>
    <row r="724" spans="6:34" x14ac:dyDescent="0.2">
      <c r="F724" s="1"/>
      <c r="N724" s="115"/>
      <c r="O724" s="22"/>
      <c r="P724" s="22"/>
      <c r="Q724" s="22"/>
      <c r="R724" s="22"/>
      <c r="S724" s="22"/>
      <c r="T724" s="115"/>
      <c r="U724" s="115"/>
      <c r="V724" s="22"/>
      <c r="W724" s="22"/>
      <c r="X724" s="22"/>
      <c r="Y724" s="22"/>
      <c r="Z724" s="22"/>
      <c r="AA724" s="115"/>
      <c r="AB724" s="115"/>
      <c r="AC724" s="22"/>
      <c r="AD724" s="22"/>
      <c r="AE724" s="22"/>
      <c r="AF724" s="22"/>
      <c r="AG724" s="22"/>
      <c r="AH724" s="115"/>
    </row>
    <row r="725" spans="6:34" x14ac:dyDescent="0.2">
      <c r="F725" s="1"/>
      <c r="N725" s="115"/>
      <c r="O725" s="22"/>
      <c r="P725" s="22"/>
      <c r="Q725" s="22"/>
      <c r="R725" s="22"/>
      <c r="S725" s="22"/>
      <c r="T725" s="115"/>
      <c r="U725" s="115"/>
      <c r="V725" s="22"/>
      <c r="W725" s="22"/>
      <c r="X725" s="22"/>
      <c r="Y725" s="22"/>
      <c r="Z725" s="22"/>
      <c r="AA725" s="115"/>
      <c r="AB725" s="115"/>
      <c r="AC725" s="22"/>
      <c r="AD725" s="22"/>
      <c r="AE725" s="22"/>
      <c r="AF725" s="22"/>
      <c r="AG725" s="22"/>
      <c r="AH725" s="115"/>
    </row>
    <row r="726" spans="6:34" x14ac:dyDescent="0.2">
      <c r="F726" s="1"/>
      <c r="N726" s="115"/>
      <c r="O726" s="22"/>
      <c r="P726" s="22"/>
      <c r="Q726" s="22"/>
      <c r="R726" s="22"/>
      <c r="S726" s="22"/>
      <c r="T726" s="115"/>
      <c r="U726" s="115"/>
      <c r="V726" s="22"/>
      <c r="W726" s="22"/>
      <c r="X726" s="22"/>
      <c r="Y726" s="22"/>
      <c r="Z726" s="22"/>
      <c r="AA726" s="115"/>
      <c r="AB726" s="115"/>
      <c r="AC726" s="22"/>
      <c r="AD726" s="22"/>
      <c r="AE726" s="22"/>
      <c r="AF726" s="22"/>
      <c r="AG726" s="22"/>
      <c r="AH726" s="115"/>
    </row>
    <row r="727" spans="6:34" x14ac:dyDescent="0.2">
      <c r="F727" s="1"/>
      <c r="N727" s="115"/>
      <c r="O727" s="22"/>
      <c r="P727" s="22"/>
      <c r="Q727" s="22"/>
      <c r="R727" s="22"/>
      <c r="S727" s="22"/>
      <c r="T727" s="115"/>
      <c r="U727" s="115"/>
      <c r="V727" s="22"/>
      <c r="W727" s="22"/>
      <c r="X727" s="22"/>
      <c r="Y727" s="22"/>
      <c r="Z727" s="22"/>
      <c r="AA727" s="115"/>
      <c r="AB727" s="115"/>
      <c r="AC727" s="22"/>
      <c r="AD727" s="22"/>
      <c r="AE727" s="22"/>
      <c r="AF727" s="22"/>
      <c r="AG727" s="22"/>
      <c r="AH727" s="115"/>
    </row>
    <row r="728" spans="6:34" x14ac:dyDescent="0.2">
      <c r="F728" s="1"/>
      <c r="N728" s="115"/>
      <c r="O728" s="22"/>
      <c r="P728" s="22"/>
      <c r="Q728" s="22"/>
      <c r="R728" s="22"/>
      <c r="S728" s="22"/>
      <c r="T728" s="115"/>
      <c r="U728" s="115"/>
      <c r="V728" s="22"/>
      <c r="W728" s="22"/>
      <c r="X728" s="22"/>
      <c r="Y728" s="22"/>
      <c r="Z728" s="22"/>
      <c r="AA728" s="115"/>
      <c r="AB728" s="115"/>
      <c r="AC728" s="22"/>
      <c r="AD728" s="22"/>
      <c r="AE728" s="22"/>
      <c r="AF728" s="22"/>
      <c r="AG728" s="22"/>
      <c r="AH728" s="115"/>
    </row>
    <row r="729" spans="6:34" x14ac:dyDescent="0.2">
      <c r="F729" s="1"/>
      <c r="N729" s="115"/>
      <c r="O729" s="22"/>
      <c r="P729" s="22"/>
      <c r="Q729" s="22"/>
      <c r="R729" s="22"/>
      <c r="S729" s="22"/>
      <c r="T729" s="115"/>
      <c r="U729" s="115"/>
      <c r="V729" s="22"/>
      <c r="W729" s="22"/>
      <c r="X729" s="22"/>
      <c r="Y729" s="22"/>
      <c r="Z729" s="22"/>
      <c r="AA729" s="115"/>
      <c r="AB729" s="115"/>
      <c r="AC729" s="22"/>
      <c r="AD729" s="22"/>
      <c r="AE729" s="22"/>
      <c r="AF729" s="22"/>
      <c r="AG729" s="22"/>
      <c r="AH729" s="115"/>
    </row>
    <row r="730" spans="6:34" x14ac:dyDescent="0.2">
      <c r="F730" s="1"/>
      <c r="N730" s="115"/>
      <c r="O730" s="22"/>
      <c r="P730" s="22"/>
      <c r="Q730" s="22"/>
      <c r="R730" s="22"/>
      <c r="S730" s="22"/>
      <c r="T730" s="115"/>
      <c r="U730" s="115"/>
      <c r="V730" s="22"/>
      <c r="W730" s="22"/>
      <c r="X730" s="22"/>
      <c r="Y730" s="22"/>
      <c r="Z730" s="22"/>
      <c r="AA730" s="115"/>
      <c r="AB730" s="115"/>
      <c r="AC730" s="22"/>
      <c r="AD730" s="22"/>
      <c r="AE730" s="22"/>
      <c r="AF730" s="22"/>
      <c r="AG730" s="22"/>
      <c r="AH730" s="115"/>
    </row>
    <row r="731" spans="6:34" x14ac:dyDescent="0.2">
      <c r="F731" s="1"/>
      <c r="N731" s="115"/>
      <c r="O731" s="22"/>
      <c r="P731" s="22"/>
      <c r="Q731" s="22"/>
      <c r="R731" s="22"/>
      <c r="S731" s="22"/>
      <c r="T731" s="115"/>
      <c r="U731" s="115"/>
      <c r="V731" s="22"/>
      <c r="W731" s="22"/>
      <c r="X731" s="22"/>
      <c r="Y731" s="22"/>
      <c r="Z731" s="22"/>
      <c r="AA731" s="115"/>
      <c r="AB731" s="115"/>
      <c r="AC731" s="22"/>
      <c r="AD731" s="22"/>
      <c r="AE731" s="22"/>
      <c r="AF731" s="22"/>
      <c r="AG731" s="22"/>
      <c r="AH731" s="115"/>
    </row>
    <row r="732" spans="6:34" x14ac:dyDescent="0.2">
      <c r="F732" s="1"/>
      <c r="N732" s="115"/>
      <c r="O732" s="22"/>
      <c r="P732" s="22"/>
      <c r="Q732" s="22"/>
      <c r="R732" s="22"/>
      <c r="S732" s="22"/>
      <c r="T732" s="115"/>
      <c r="U732" s="115"/>
      <c r="V732" s="22"/>
      <c r="W732" s="22"/>
      <c r="X732" s="22"/>
      <c r="Y732" s="22"/>
      <c r="Z732" s="22"/>
      <c r="AA732" s="115"/>
      <c r="AB732" s="115"/>
      <c r="AC732" s="22"/>
      <c r="AD732" s="22"/>
      <c r="AE732" s="22"/>
      <c r="AF732" s="22"/>
      <c r="AG732" s="22"/>
      <c r="AH732" s="115"/>
    </row>
    <row r="733" spans="6:34" x14ac:dyDescent="0.2">
      <c r="F733" s="1"/>
      <c r="N733" s="115"/>
      <c r="O733" s="22"/>
      <c r="P733" s="22"/>
      <c r="Q733" s="22"/>
      <c r="R733" s="22"/>
      <c r="S733" s="22"/>
      <c r="T733" s="115"/>
      <c r="U733" s="115"/>
      <c r="V733" s="22"/>
      <c r="W733" s="22"/>
      <c r="X733" s="22"/>
      <c r="Y733" s="22"/>
      <c r="Z733" s="22"/>
      <c r="AA733" s="115"/>
      <c r="AB733" s="115"/>
      <c r="AC733" s="22"/>
      <c r="AD733" s="22"/>
      <c r="AE733" s="22"/>
      <c r="AF733" s="22"/>
      <c r="AG733" s="22"/>
      <c r="AH733" s="115"/>
    </row>
    <row r="734" spans="6:34" x14ac:dyDescent="0.2">
      <c r="F734" s="1"/>
      <c r="N734" s="115"/>
      <c r="O734" s="22"/>
      <c r="P734" s="22"/>
      <c r="Q734" s="22"/>
      <c r="R734" s="22"/>
      <c r="S734" s="22"/>
      <c r="T734" s="115"/>
      <c r="U734" s="115"/>
      <c r="V734" s="22"/>
      <c r="W734" s="22"/>
      <c r="X734" s="22"/>
      <c r="Y734" s="22"/>
      <c r="Z734" s="22"/>
      <c r="AA734" s="115"/>
      <c r="AB734" s="115"/>
      <c r="AC734" s="22"/>
      <c r="AD734" s="22"/>
      <c r="AE734" s="22"/>
      <c r="AF734" s="22"/>
      <c r="AG734" s="22"/>
      <c r="AH734" s="115"/>
    </row>
    <row r="735" spans="6:34" x14ac:dyDescent="0.2">
      <c r="F735" s="1"/>
      <c r="N735" s="115"/>
      <c r="O735" s="22"/>
      <c r="P735" s="22"/>
      <c r="Q735" s="22"/>
      <c r="R735" s="22"/>
      <c r="S735" s="22"/>
      <c r="T735" s="115"/>
      <c r="U735" s="115"/>
      <c r="V735" s="22"/>
      <c r="W735" s="22"/>
      <c r="X735" s="22"/>
      <c r="Y735" s="22"/>
      <c r="Z735" s="22"/>
      <c r="AA735" s="115"/>
      <c r="AB735" s="115"/>
      <c r="AC735" s="22"/>
      <c r="AD735" s="22"/>
      <c r="AE735" s="22"/>
      <c r="AF735" s="22"/>
      <c r="AG735" s="22"/>
      <c r="AH735" s="115"/>
    </row>
    <row r="736" spans="6:34" x14ac:dyDescent="0.2">
      <c r="F736" s="1"/>
      <c r="N736" s="115"/>
      <c r="O736" s="22"/>
      <c r="P736" s="22"/>
      <c r="Q736" s="22"/>
      <c r="R736" s="22"/>
      <c r="S736" s="22"/>
      <c r="T736" s="115"/>
      <c r="U736" s="115"/>
      <c r="V736" s="22"/>
      <c r="W736" s="22"/>
      <c r="X736" s="22"/>
      <c r="Y736" s="22"/>
      <c r="Z736" s="22"/>
      <c r="AA736" s="115"/>
      <c r="AB736" s="115"/>
      <c r="AC736" s="22"/>
      <c r="AD736" s="22"/>
      <c r="AE736" s="22"/>
      <c r="AF736" s="22"/>
      <c r="AG736" s="22"/>
      <c r="AH736" s="115"/>
    </row>
    <row r="737" spans="6:34" x14ac:dyDescent="0.2">
      <c r="F737" s="1"/>
      <c r="N737" s="115"/>
      <c r="O737" s="22"/>
      <c r="P737" s="22"/>
      <c r="Q737" s="22"/>
      <c r="R737" s="22"/>
      <c r="S737" s="22"/>
      <c r="T737" s="115"/>
      <c r="U737" s="115"/>
      <c r="V737" s="22"/>
      <c r="W737" s="22"/>
      <c r="X737" s="22"/>
      <c r="Y737" s="22"/>
      <c r="Z737" s="22"/>
      <c r="AA737" s="115"/>
      <c r="AB737" s="115"/>
      <c r="AC737" s="22"/>
      <c r="AD737" s="22"/>
      <c r="AE737" s="22"/>
      <c r="AF737" s="22"/>
      <c r="AG737" s="22"/>
      <c r="AH737" s="115"/>
    </row>
    <row r="738" spans="6:34" x14ac:dyDescent="0.2">
      <c r="F738" s="1"/>
      <c r="N738" s="115"/>
      <c r="O738" s="22"/>
      <c r="P738" s="22"/>
      <c r="Q738" s="22"/>
      <c r="R738" s="22"/>
      <c r="S738" s="22"/>
      <c r="T738" s="115"/>
      <c r="U738" s="115"/>
      <c r="V738" s="22"/>
      <c r="W738" s="22"/>
      <c r="X738" s="22"/>
      <c r="Y738" s="22"/>
      <c r="Z738" s="22"/>
      <c r="AA738" s="115"/>
      <c r="AB738" s="115"/>
      <c r="AC738" s="22"/>
      <c r="AD738" s="22"/>
      <c r="AE738" s="22"/>
      <c r="AF738" s="22"/>
      <c r="AG738" s="22"/>
      <c r="AH738" s="115"/>
    </row>
    <row r="739" spans="6:34" x14ac:dyDescent="0.2">
      <c r="F739" s="1"/>
      <c r="N739" s="115"/>
      <c r="O739" s="22"/>
      <c r="P739" s="22"/>
      <c r="Q739" s="22"/>
      <c r="R739" s="22"/>
      <c r="S739" s="22"/>
      <c r="T739" s="115"/>
      <c r="U739" s="115"/>
      <c r="V739" s="22"/>
      <c r="W739" s="22"/>
      <c r="X739" s="22"/>
      <c r="Y739" s="22"/>
      <c r="Z739" s="22"/>
      <c r="AA739" s="115"/>
      <c r="AB739" s="115"/>
      <c r="AC739" s="22"/>
      <c r="AD739" s="22"/>
      <c r="AE739" s="22"/>
      <c r="AF739" s="22"/>
      <c r="AG739" s="22"/>
      <c r="AH739" s="115"/>
    </row>
    <row r="740" spans="6:34" x14ac:dyDescent="0.2">
      <c r="F740" s="1"/>
      <c r="N740" s="115"/>
      <c r="O740" s="22"/>
      <c r="P740" s="22"/>
      <c r="Q740" s="22"/>
      <c r="R740" s="22"/>
      <c r="S740" s="22"/>
      <c r="T740" s="115"/>
      <c r="U740" s="115"/>
      <c r="V740" s="22"/>
      <c r="W740" s="22"/>
      <c r="X740" s="22"/>
      <c r="Y740" s="22"/>
      <c r="Z740" s="22"/>
      <c r="AA740" s="115"/>
      <c r="AB740" s="115"/>
      <c r="AC740" s="22"/>
      <c r="AD740" s="22"/>
      <c r="AE740" s="22"/>
      <c r="AF740" s="22"/>
      <c r="AG740" s="22"/>
      <c r="AH740" s="115"/>
    </row>
    <row r="741" spans="6:34" x14ac:dyDescent="0.2">
      <c r="F741" s="1"/>
      <c r="N741" s="115"/>
      <c r="O741" s="22"/>
      <c r="P741" s="22"/>
      <c r="Q741" s="22"/>
      <c r="R741" s="22"/>
      <c r="S741" s="22"/>
      <c r="T741" s="115"/>
      <c r="U741" s="115"/>
      <c r="V741" s="22"/>
      <c r="W741" s="22"/>
      <c r="X741" s="22"/>
      <c r="Y741" s="22"/>
      <c r="Z741" s="22"/>
      <c r="AA741" s="115"/>
      <c r="AB741" s="115"/>
      <c r="AC741" s="22"/>
      <c r="AD741" s="22"/>
      <c r="AE741" s="22"/>
      <c r="AF741" s="22"/>
      <c r="AG741" s="22"/>
      <c r="AH741" s="115"/>
    </row>
  </sheetData>
  <mergeCells count="14">
    <mergeCell ref="K5:K6"/>
    <mergeCell ref="N5:T5"/>
    <mergeCell ref="U5:AA5"/>
    <mergeCell ref="AB5:AH5"/>
    <mergeCell ref="A1:AH1"/>
    <mergeCell ref="A2:AH2"/>
    <mergeCell ref="A3:AH3"/>
    <mergeCell ref="A4:D4"/>
    <mergeCell ref="A5:A6"/>
    <mergeCell ref="C5:C6"/>
    <mergeCell ref="E5:E6"/>
    <mergeCell ref="F5:F6"/>
    <mergeCell ref="G5:G6"/>
    <mergeCell ref="J5:J6"/>
  </mergeCell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g">
                <anchor moveWithCells="1" sizeWithCells="1">
                  <from>
                    <xdr:col>34</xdr:col>
                    <xdr:colOff>47625</xdr:colOff>
                    <xdr:row>0</xdr:row>
                    <xdr:rowOff>152400</xdr:rowOff>
                  </from>
                  <to>
                    <xdr:col>36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rch1">
                <anchor moveWithCells="1" sizeWithCells="1">
                  <from>
                    <xdr:col>36</xdr:col>
                    <xdr:colOff>609600</xdr:colOff>
                    <xdr:row>0</xdr:row>
                    <xdr:rowOff>161925</xdr:rowOff>
                  </from>
                  <to>
                    <xdr:col>39</xdr:col>
                    <xdr:colOff>200025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เวิร์กชีต</vt:lpstr>
      </vt:variant>
      <vt:variant>
        <vt:i4>3</vt:i4>
      </vt:variant>
      <vt:variant>
        <vt:lpstr>ช่วงที่มีชื่อ</vt:lpstr>
      </vt:variant>
      <vt:variant>
        <vt:i4>1</vt:i4>
      </vt:variant>
    </vt:vector>
  </HeadingPairs>
  <TitlesOfParts>
    <vt:vector size="4" baseType="lpstr">
      <vt:lpstr>Data</vt:lpstr>
      <vt:lpstr>section</vt:lpstr>
      <vt:lpstr>original</vt:lpstr>
      <vt:lpstr>major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helpdesk</dc:creator>
  <cp:lastModifiedBy>สรวิศ วรรณศรี</cp:lastModifiedBy>
  <cp:lastPrinted>2019-06-06T11:07:00Z</cp:lastPrinted>
  <dcterms:created xsi:type="dcterms:W3CDTF">2018-12-11T08:58:00Z</dcterms:created>
  <dcterms:modified xsi:type="dcterms:W3CDTF">2021-04-18T03:04:58Z</dcterms:modified>
</cp:coreProperties>
</file>